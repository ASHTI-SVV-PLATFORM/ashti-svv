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  <sheet name="Y" sheetId="2" state="visible" r:id="rId2"/>
  </sheets>
  <definedNames>
    <definedName name="_xlnm._FilterDatabase" localSheetId="0" hidden="1">'X'!$A$2:$I$18</definedName>
    <definedName name="_xlnm._FilterDatabase" localSheetId="1" hidden="1">'Y'!$A$2:$I$18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0"/>
    <numFmt numFmtId="166" formatCode="0.0"/>
  </numFmts>
  <fonts count="5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b val="1"/>
      <color rgb="00FFFFFF"/>
      <sz val="11"/>
    </font>
    <font>
      <name val="Segoe UI"/>
      <i val="1"/>
      <color rgb="00333333"/>
      <sz val="9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E8E8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4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center" vertical="center"/>
    </xf>
    <xf numFmtId="165" fontId="0" fillId="4" borderId="2" applyAlignment="1" pivotButton="0" quotePrefix="0" xfId="0">
      <alignment horizontal="center" vertical="center"/>
    </xf>
    <xf numFmtId="166" fontId="0" fillId="4" borderId="2" applyAlignment="1" pivotButton="0" quotePrefix="0" xfId="0">
      <alignment horizontal="center" vertical="center"/>
    </xf>
    <xf numFmtId="0" fontId="0" fillId="4" borderId="2" pivotButton="0" quotePrefix="0" xfId="0"/>
  </cellXfs>
  <cellStyles count="1">
    <cellStyle name="Normal" xfId="0" builtinId="0" hidden="0"/>
  </cellStyles>
  <dxfs count="2">
    <dxf>
      <font>
        <name val="Segoe UI"/>
        <b val="1"/>
        <color rgb="00006100"/>
      </font>
      <fill>
        <patternFill patternType="solid">
          <fgColor rgb="0092D050"/>
        </patternFill>
      </fill>
    </dxf>
    <dxf>
      <font>
        <name val="Segoe UI"/>
        <b val="1"/>
        <color rgb="00FF000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Data</author>
    <author>Compliance</author>
  </authors>
  <commentList>
    <comment ref="D5" authorId="0" shapeId="0">
      <text>
        <t>DRe = 0.000183 m  (=0.183 mm from story_drifts.json)</t>
      </text>
    </comment>
    <comment ref="I5" authorId="1" shapeId="0">
      <text>
        <t>Check if DRe &lt;= DRa</t>
      </text>
    </comment>
    <comment ref="D6" authorId="0" shapeId="0">
      <text>
        <t>DRe = 0.000183 m  (=0.183 mm from story_drifts.json)</t>
      </text>
    </comment>
    <comment ref="I6" authorId="1" shapeId="0">
      <text>
        <t>Check if DRe &lt;= DRa</t>
      </text>
    </comment>
    <comment ref="D7" authorId="0" shapeId="0">
      <text>
        <t>DRe = 0.00087 m  (=0.87 mm from story_drifts.json)</t>
      </text>
    </comment>
    <comment ref="I7" authorId="1" shapeId="0">
      <text>
        <t>Check if DRe &lt;= DRa</t>
      </text>
    </comment>
    <comment ref="D8" authorId="0" shapeId="0">
      <text>
        <t>DRe = 0.000919 m  (=0.919 mm from story_drifts.json)</t>
      </text>
    </comment>
    <comment ref="I8" authorId="1" shapeId="0">
      <text>
        <t>Check if DRe &lt;= DRa</t>
      </text>
    </comment>
    <comment ref="D9" authorId="0" shapeId="0">
      <text>
        <t>DRe = 0.001195 m  (=1.195 mm from story_drifts.json)</t>
      </text>
    </comment>
    <comment ref="I9" authorId="1" shapeId="0">
      <text>
        <t>Check if DRe &lt;= DRa</t>
      </text>
    </comment>
    <comment ref="D10" authorId="0" shapeId="0">
      <text>
        <t>DRe = 0.001258 m  (=1.258 mm from story_drifts.json)</t>
      </text>
    </comment>
    <comment ref="I10" authorId="1" shapeId="0">
      <text>
        <t>Check if DRe &lt;= DRa</t>
      </text>
    </comment>
    <comment ref="D11" authorId="0" shapeId="0">
      <text>
        <t>DRe = 0.0013939999999999998 m  (=1.394 mm from story_drifts.json)</t>
      </text>
    </comment>
    <comment ref="I11" authorId="1" shapeId="0">
      <text>
        <t>Check if DRe &lt;= DRa</t>
      </text>
    </comment>
    <comment ref="D12" authorId="0" shapeId="0">
      <text>
        <t>DRe = 0.00146 m  (=1.46 mm from story_drifts.json)</t>
      </text>
    </comment>
    <comment ref="I12" authorId="1" shapeId="0">
      <text>
        <t>Check if DRe &lt;= DRa</t>
      </text>
    </comment>
    <comment ref="D13" authorId="0" shapeId="0">
      <text>
        <t>DRe = 0.0014470000000000002 m  (=1.447 mm from story_drifts.json)</t>
      </text>
    </comment>
    <comment ref="I13" authorId="1" shapeId="0">
      <text>
        <t>Check if DRe &lt;= DRa</t>
      </text>
    </comment>
    <comment ref="D14" authorId="0" shapeId="0">
      <text>
        <t>DRe = 0.001508 m  (=1.508 mm from story_drifts.json)</t>
      </text>
    </comment>
    <comment ref="I14" authorId="1" shapeId="0">
      <text>
        <t>Check if DRe &lt;= DRa</t>
      </text>
    </comment>
    <comment ref="D15" authorId="0" shapeId="0">
      <text>
        <t>DRe = 0.001418 m  (=1.418 mm from story_drifts.json)</t>
      </text>
    </comment>
    <comment ref="I15" authorId="1" shapeId="0">
      <text>
        <t>Check if DRe &lt;= DRa</t>
      </text>
    </comment>
    <comment ref="D16" authorId="0" shapeId="0">
      <text>
        <t>DRe = 0.00147 m  (=1.47 mm from story_drifts.json)</t>
      </text>
    </comment>
    <comment ref="I16" authorId="1" shapeId="0">
      <text>
        <t>Check if DRe &lt;= DRa</t>
      </text>
    </comment>
    <comment ref="D17" authorId="0" shapeId="0">
      <text>
        <t>DRe = 0.0013620000000000001 m  (=1.362 mm from story_drifts.json)</t>
      </text>
    </comment>
    <comment ref="I17" authorId="1" shapeId="0">
      <text>
        <t>Check if DRe &lt;= DRa</t>
      </text>
    </comment>
    <comment ref="D18" authorId="0" shapeId="0">
      <text>
        <t>DRe = 0.001373 m  (=1.373 mm from story_drifts.json)</t>
      </text>
    </comment>
    <comment ref="I18" authorId="1" shapeId="0">
      <text>
        <t>Check if DRe &lt;= DRa</t>
      </text>
    </comment>
  </commentList>
</comments>
</file>

<file path=xl/comments/comment2.xml><?xml version="1.0" encoding="utf-8"?>
<comments xmlns="http://schemas.openxmlformats.org/spreadsheetml/2006/main">
  <authors>
    <author>Data</author>
    <author>Compliance</author>
  </authors>
  <commentList>
    <comment ref="D5" authorId="0" shapeId="0">
      <text>
        <t>DRe = 0.000158 m  (=0.158 mm from story_drifts.json)</t>
      </text>
    </comment>
    <comment ref="I5" authorId="1" shapeId="0">
      <text>
        <t>Check if DRe &lt;= DRa</t>
      </text>
    </comment>
    <comment ref="D6" authorId="0" shapeId="0">
      <text>
        <t>DRe = 0.000165 m  (=0.165 mm from story_drifts.json)</t>
      </text>
    </comment>
    <comment ref="I6" authorId="1" shapeId="0">
      <text>
        <t>Check if DRe &lt;= DRa</t>
      </text>
    </comment>
    <comment ref="D7" authorId="0" shapeId="0">
      <text>
        <t>DRe = 0.000464 m  (=0.464 mm from story_drifts.json)</t>
      </text>
    </comment>
    <comment ref="I7" authorId="1" shapeId="0">
      <text>
        <t>Check if DRe &lt;= DRa</t>
      </text>
    </comment>
    <comment ref="D8" authorId="0" shapeId="0">
      <text>
        <t>DRe = 0.000786 m  (=0.786 mm from story_drifts.json)</t>
      </text>
    </comment>
    <comment ref="I8" authorId="1" shapeId="0">
      <text>
        <t>Check if DRe &lt;= DRa</t>
      </text>
    </comment>
    <comment ref="D9" authorId="0" shapeId="0">
      <text>
        <t>DRe = 0.000638 m  (=0.638 mm from story_drifts.json)</t>
      </text>
    </comment>
    <comment ref="I9" authorId="1" shapeId="0">
      <text>
        <t>Check if DRe &lt;= DRa</t>
      </text>
    </comment>
    <comment ref="D10" authorId="0" shapeId="0">
      <text>
        <t>DRe = 0.001052 m  (=1.052 mm from story_drifts.json)</t>
      </text>
    </comment>
    <comment ref="I10" authorId="1" shapeId="0">
      <text>
        <t>Check if DRe &lt;= DRa</t>
      </text>
    </comment>
    <comment ref="D11" authorId="0" shapeId="0">
      <text>
        <t>DRe = 0.000739 m  (=0.739 mm from story_drifts.json)</t>
      </text>
    </comment>
    <comment ref="I11" authorId="1" shapeId="0">
      <text>
        <t>Check if DRe &lt;= DRa</t>
      </text>
    </comment>
    <comment ref="D12" authorId="0" shapeId="0">
      <text>
        <t>DRe = 0.001191 m  (=1.191 mm from story_drifts.json)</t>
      </text>
    </comment>
    <comment ref="I12" authorId="1" shapeId="0">
      <text>
        <t>Check if DRe &lt;= DRa</t>
      </text>
    </comment>
    <comment ref="D13" authorId="0" shapeId="0">
      <text>
        <t>DRe = 0.000766 m  (=0.766 mm from story_drifts.json)</t>
      </text>
    </comment>
    <comment ref="I13" authorId="1" shapeId="0">
      <text>
        <t>Check if DRe &lt;= DRa</t>
      </text>
    </comment>
    <comment ref="D14" authorId="0" shapeId="0">
      <text>
        <t>DRe = 0.001199 m  (=1.199 mm from story_drifts.json)</t>
      </text>
    </comment>
    <comment ref="I14" authorId="1" shapeId="0">
      <text>
        <t>Check if DRe &lt;= DRa</t>
      </text>
    </comment>
    <comment ref="D15" authorId="0" shapeId="0">
      <text>
        <t>DRe = 0.000748 m  (=0.748 mm from story_drifts.json)</t>
      </text>
    </comment>
    <comment ref="I15" authorId="1" shapeId="0">
      <text>
        <t>Check if DRe &lt;= DRa</t>
      </text>
    </comment>
    <comment ref="D16" authorId="0" shapeId="0">
      <text>
        <t>DRe = 0.001135 m  (=1.135 mm from story_drifts.json)</t>
      </text>
    </comment>
    <comment ref="I16" authorId="1" shapeId="0">
      <text>
        <t>Check if DRe &lt;= DRa</t>
      </text>
    </comment>
    <comment ref="D17" authorId="0" shapeId="0">
      <text>
        <t>DRe = 0.000639 m  (=0.639 mm from story_drifts.json)</t>
      </text>
    </comment>
    <comment ref="I17" authorId="1" shapeId="0">
      <text>
        <t>Check if DRe &lt;= DRa</t>
      </text>
    </comment>
    <comment ref="D18" authorId="0" shapeId="0">
      <text>
        <t>DRe = 0.000699 m  (=0.699 mm from story_drifts.json)</t>
      </text>
    </comment>
    <comment ref="I18" authorId="1" shapeId="0">
      <text>
        <t>Check if DRe &lt;= DRa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5" customWidth="1" min="10" max="10"/>
    <col width="12" customWidth="1" min="11" max="11"/>
    <col width="12" customWidth="1" min="12" max="12"/>
  </cols>
  <sheetData>
    <row r="1" ht="40" customHeight="1">
      <c r="A1" s="1" t="inlineStr">
        <is>
          <t>Check of Story Drift Ratios - Direction X</t>
        </is>
      </c>
    </row>
    <row r="2" ht="35" customHeight="1">
      <c r="A2" s="2" t="inlineStr">
        <is>
          <t>Story</t>
        </is>
      </c>
      <c r="B2" s="2" t="inlineStr">
        <is>
          <t>Output Case</t>
        </is>
      </c>
      <c r="C2" s="2" t="inlineStr">
        <is>
          <t>Direction</t>
        </is>
      </c>
      <c r="D2" s="2" t="inlineStr">
        <is>
          <t>DRe (m)</t>
        </is>
      </c>
      <c r="E2" s="2" t="inlineStr">
        <is>
          <t>Point</t>
        </is>
      </c>
      <c r="F2" s="2" t="inlineStr">
        <is>
          <t>X (m)</t>
        </is>
      </c>
      <c r="G2" s="2" t="inlineStr">
        <is>
          <t>Y (m)</t>
        </is>
      </c>
      <c r="H2" s="2" t="inlineStr">
        <is>
          <t>Z (m)</t>
        </is>
      </c>
      <c r="I2" s="2" t="inlineStr">
        <is>
          <t>Check</t>
        </is>
      </c>
      <c r="J2" s="2" t="inlineStr"/>
      <c r="K2" s="2" t="inlineStr">
        <is>
          <t>RX=</t>
        </is>
      </c>
      <c r="L2" s="3" t="n">
        <v>5</v>
      </c>
    </row>
    <row r="3" ht="22" customHeight="1">
      <c r="A3" s="4" t="inlineStr"/>
      <c r="B3" s="4" t="inlineStr"/>
      <c r="C3" s="4" t="inlineStr"/>
      <c r="D3" s="4" t="inlineStr"/>
      <c r="E3" s="4" t="inlineStr"/>
      <c r="F3" s="4" t="inlineStr">
        <is>
          <t>m</t>
        </is>
      </c>
      <c r="G3" s="4" t="inlineStr">
        <is>
          <t>m</t>
        </is>
      </c>
      <c r="H3" s="4" t="inlineStr">
        <is>
          <t>m</t>
        </is>
      </c>
      <c r="I3" s="4" t="inlineStr"/>
      <c r="J3" s="4" t="inlineStr"/>
      <c r="K3" s="4" t="inlineStr">
        <is>
          <t>TBX [sec]=</t>
        </is>
      </c>
      <c r="L3" s="5" t="n">
        <v>0.527</v>
      </c>
    </row>
    <row r="4">
      <c r="K4" s="6" t="inlineStr">
        <is>
          <t>DRa=</t>
        </is>
      </c>
      <c r="L4" s="7">
        <f>IF(L3&gt;0.7,0.02/(0.7*L2),0.025/(0.7*L2))</f>
        <v/>
      </c>
    </row>
    <row r="5">
      <c r="A5" s="8" t="inlineStr">
        <is>
          <t>Parking</t>
        </is>
      </c>
      <c r="B5" s="9" t="inlineStr">
        <is>
          <t>DEXA</t>
        </is>
      </c>
      <c r="C5" s="9" t="inlineStr">
        <is>
          <t>X</t>
        </is>
      </c>
      <c r="D5" s="10" t="n">
        <v>0.000183</v>
      </c>
      <c r="E5" s="9" t="inlineStr">
        <is>
          <t>86</t>
        </is>
      </c>
      <c r="F5" s="11" t="n">
        <v>20.3</v>
      </c>
      <c r="G5" s="11" t="n">
        <v>21.5</v>
      </c>
      <c r="H5" s="11" t="n">
        <v>3</v>
      </c>
      <c r="I5" s="9">
        <f>IF(D5&lt;=$L$4,"Ok","NOT OK")</f>
        <v/>
      </c>
      <c r="J5" s="12" t="inlineStr"/>
      <c r="K5" s="12" t="inlineStr"/>
      <c r="L5" s="12" t="inlineStr"/>
    </row>
    <row r="6">
      <c r="A6" s="13" t="inlineStr">
        <is>
          <t>Parking</t>
        </is>
      </c>
      <c r="B6" s="14" t="inlineStr">
        <is>
          <t>DEXB</t>
        </is>
      </c>
      <c r="C6" s="14" t="inlineStr">
        <is>
          <t>X</t>
        </is>
      </c>
      <c r="D6" s="15" t="n">
        <v>0.000183</v>
      </c>
      <c r="E6" s="14" t="inlineStr">
        <is>
          <t>4</t>
        </is>
      </c>
      <c r="F6" s="16" t="n">
        <v>11.4</v>
      </c>
      <c r="G6" s="16" t="n">
        <v>-4</v>
      </c>
      <c r="H6" s="16" t="n">
        <v>3</v>
      </c>
      <c r="I6" s="14">
        <f>IF(D6&lt;=$L$4,"Ok","NOT OK")</f>
        <v/>
      </c>
      <c r="J6" s="17" t="inlineStr"/>
      <c r="K6" s="17" t="inlineStr"/>
      <c r="L6" s="17" t="inlineStr"/>
    </row>
    <row r="7">
      <c r="A7" s="8" t="inlineStr">
        <is>
          <t>Floor1</t>
        </is>
      </c>
      <c r="B7" s="9" t="inlineStr">
        <is>
          <t>DEXA</t>
        </is>
      </c>
      <c r="C7" s="9" t="inlineStr">
        <is>
          <t>X</t>
        </is>
      </c>
      <c r="D7" s="10" t="n">
        <v>0.00087</v>
      </c>
      <c r="E7" s="9" t="inlineStr">
        <is>
          <t>76</t>
        </is>
      </c>
      <c r="F7" s="11" t="n">
        <v>16.3</v>
      </c>
      <c r="G7" s="11" t="n">
        <v>17.5</v>
      </c>
      <c r="H7" s="11" t="n">
        <v>6.2</v>
      </c>
      <c r="I7" s="9">
        <f>IF(D7&lt;=$L$4,"Ok","NOT OK")</f>
        <v/>
      </c>
      <c r="J7" s="12" t="inlineStr"/>
      <c r="K7" s="12" t="inlineStr"/>
      <c r="L7" s="12" t="inlineStr"/>
    </row>
    <row r="8">
      <c r="A8" s="13" t="inlineStr">
        <is>
          <t>Floor1</t>
        </is>
      </c>
      <c r="B8" s="14" t="inlineStr">
        <is>
          <t>DEXB</t>
        </is>
      </c>
      <c r="C8" s="14" t="inlineStr">
        <is>
          <t>X</t>
        </is>
      </c>
      <c r="D8" s="15" t="n">
        <v>0.000919</v>
      </c>
      <c r="E8" s="14" t="inlineStr">
        <is>
          <t>15</t>
        </is>
      </c>
      <c r="F8" s="16" t="n">
        <v>16.3</v>
      </c>
      <c r="G8" s="16" t="n">
        <v>0</v>
      </c>
      <c r="H8" s="16" t="n">
        <v>6.2</v>
      </c>
      <c r="I8" s="14">
        <f>IF(D8&lt;=$L$4,"Ok","NOT OK")</f>
        <v/>
      </c>
      <c r="J8" s="17" t="inlineStr"/>
      <c r="K8" s="17" t="inlineStr"/>
      <c r="L8" s="17" t="inlineStr"/>
    </row>
    <row r="9">
      <c r="A9" s="8" t="inlineStr">
        <is>
          <t>Floor2</t>
        </is>
      </c>
      <c r="B9" s="9" t="inlineStr">
        <is>
          <t>DEXA</t>
        </is>
      </c>
      <c r="C9" s="9" t="inlineStr">
        <is>
          <t>X</t>
        </is>
      </c>
      <c r="D9" s="10" t="n">
        <v>0.001195</v>
      </c>
      <c r="E9" s="9" t="inlineStr">
        <is>
          <t>76</t>
        </is>
      </c>
      <c r="F9" s="11" t="n">
        <v>16.3</v>
      </c>
      <c r="G9" s="11" t="n">
        <v>17.5</v>
      </c>
      <c r="H9" s="11" t="n">
        <v>9.4</v>
      </c>
      <c r="I9" s="9">
        <f>IF(D9&lt;=$L$4,"Ok","NOT OK")</f>
        <v/>
      </c>
      <c r="J9" s="12" t="inlineStr"/>
      <c r="K9" s="12" t="inlineStr"/>
      <c r="L9" s="12" t="inlineStr"/>
    </row>
    <row r="10">
      <c r="A10" s="13" t="inlineStr">
        <is>
          <t>Floor2</t>
        </is>
      </c>
      <c r="B10" s="14" t="inlineStr">
        <is>
          <t>DEXB</t>
        </is>
      </c>
      <c r="C10" s="14" t="inlineStr">
        <is>
          <t>X</t>
        </is>
      </c>
      <c r="D10" s="15" t="n">
        <v>0.001258</v>
      </c>
      <c r="E10" s="14" t="inlineStr">
        <is>
          <t>15</t>
        </is>
      </c>
      <c r="F10" s="16" t="n">
        <v>16.3</v>
      </c>
      <c r="G10" s="16" t="n">
        <v>0</v>
      </c>
      <c r="H10" s="16" t="n">
        <v>9.4</v>
      </c>
      <c r="I10" s="14">
        <f>IF(D10&lt;=$L$4,"Ok","NOT OK")</f>
        <v/>
      </c>
      <c r="J10" s="17" t="inlineStr"/>
      <c r="K10" s="17" t="inlineStr"/>
      <c r="L10" s="17" t="inlineStr"/>
    </row>
    <row r="11">
      <c r="A11" s="8" t="inlineStr">
        <is>
          <t>Floor3</t>
        </is>
      </c>
      <c r="B11" s="9" t="inlineStr">
        <is>
          <t>DEXA</t>
        </is>
      </c>
      <c r="C11" s="9" t="inlineStr">
        <is>
          <t>X</t>
        </is>
      </c>
      <c r="D11" s="10" t="n">
        <v>0.001394</v>
      </c>
      <c r="E11" s="9" t="inlineStr">
        <is>
          <t>76</t>
        </is>
      </c>
      <c r="F11" s="11" t="n">
        <v>16.3</v>
      </c>
      <c r="G11" s="11" t="n">
        <v>17.5</v>
      </c>
      <c r="H11" s="11" t="n">
        <v>12.6</v>
      </c>
      <c r="I11" s="9">
        <f>IF(D11&lt;=$L$4,"Ok","NOT OK")</f>
        <v/>
      </c>
      <c r="J11" s="12" t="inlineStr"/>
      <c r="K11" s="12" t="inlineStr"/>
      <c r="L11" s="12" t="inlineStr"/>
    </row>
    <row r="12">
      <c r="A12" s="13" t="inlineStr">
        <is>
          <t>Floor3</t>
        </is>
      </c>
      <c r="B12" s="14" t="inlineStr">
        <is>
          <t>DEXB</t>
        </is>
      </c>
      <c r="C12" s="14" t="inlineStr">
        <is>
          <t>X</t>
        </is>
      </c>
      <c r="D12" s="15" t="n">
        <v>0.00146</v>
      </c>
      <c r="E12" s="14" t="inlineStr">
        <is>
          <t>15</t>
        </is>
      </c>
      <c r="F12" s="16" t="n">
        <v>16.3</v>
      </c>
      <c r="G12" s="16" t="n">
        <v>0</v>
      </c>
      <c r="H12" s="16" t="n">
        <v>12.6</v>
      </c>
      <c r="I12" s="14">
        <f>IF(D12&lt;=$L$4,"Ok","NOT OK")</f>
        <v/>
      </c>
      <c r="J12" s="17" t="inlineStr"/>
      <c r="K12" s="17" t="inlineStr"/>
      <c r="L12" s="17" t="inlineStr"/>
    </row>
    <row r="13">
      <c r="A13" s="8" t="inlineStr">
        <is>
          <t>Floor4</t>
        </is>
      </c>
      <c r="B13" s="9" t="inlineStr">
        <is>
          <t>DEXA</t>
        </is>
      </c>
      <c r="C13" s="9" t="inlineStr">
        <is>
          <t>X</t>
        </is>
      </c>
      <c r="D13" s="10" t="n">
        <v>0.001447</v>
      </c>
      <c r="E13" s="9" t="inlineStr">
        <is>
          <t>76</t>
        </is>
      </c>
      <c r="F13" s="11" t="n">
        <v>16.3</v>
      </c>
      <c r="G13" s="11" t="n">
        <v>17.5</v>
      </c>
      <c r="H13" s="11" t="n">
        <v>15.8</v>
      </c>
      <c r="I13" s="9">
        <f>IF(D13&lt;=$L$4,"Ok","NOT OK")</f>
        <v/>
      </c>
      <c r="J13" s="12" t="inlineStr"/>
      <c r="K13" s="12" t="inlineStr"/>
      <c r="L13" s="12" t="inlineStr"/>
    </row>
    <row r="14">
      <c r="A14" s="13" t="inlineStr">
        <is>
          <t>Floor4</t>
        </is>
      </c>
      <c r="B14" s="14" t="inlineStr">
        <is>
          <t>DEXB</t>
        </is>
      </c>
      <c r="C14" s="14" t="inlineStr">
        <is>
          <t>X</t>
        </is>
      </c>
      <c r="D14" s="15" t="n">
        <v>0.001508</v>
      </c>
      <c r="E14" s="14" t="inlineStr">
        <is>
          <t>15</t>
        </is>
      </c>
      <c r="F14" s="16" t="n">
        <v>16.3</v>
      </c>
      <c r="G14" s="16" t="n">
        <v>0</v>
      </c>
      <c r="H14" s="16" t="n">
        <v>15.8</v>
      </c>
      <c r="I14" s="14">
        <f>IF(D14&lt;=$L$4,"Ok","NOT OK")</f>
        <v/>
      </c>
      <c r="J14" s="17" t="inlineStr"/>
      <c r="K14" s="17" t="inlineStr"/>
      <c r="L14" s="17" t="inlineStr"/>
    </row>
    <row r="15">
      <c r="A15" s="8" t="inlineStr">
        <is>
          <t>Roof</t>
        </is>
      </c>
      <c r="B15" s="9" t="inlineStr">
        <is>
          <t>DEXA</t>
        </is>
      </c>
      <c r="C15" s="9" t="inlineStr">
        <is>
          <t>X</t>
        </is>
      </c>
      <c r="D15" s="10" t="n">
        <v>0.001418</v>
      </c>
      <c r="E15" s="9" t="inlineStr">
        <is>
          <t>75</t>
        </is>
      </c>
      <c r="F15" s="11" t="n">
        <v>11.4</v>
      </c>
      <c r="G15" s="11" t="n">
        <v>17.5</v>
      </c>
      <c r="H15" s="11" t="n">
        <v>19</v>
      </c>
      <c r="I15" s="9">
        <f>IF(D15&lt;=$L$4,"Ok","NOT OK")</f>
        <v/>
      </c>
      <c r="J15" s="12" t="inlineStr"/>
      <c r="K15" s="12" t="inlineStr"/>
      <c r="L15" s="12" t="inlineStr"/>
    </row>
    <row r="16">
      <c r="A16" s="13" t="inlineStr">
        <is>
          <t>Roof</t>
        </is>
      </c>
      <c r="B16" s="14" t="inlineStr">
        <is>
          <t>DEXB</t>
        </is>
      </c>
      <c r="C16" s="14" t="inlineStr">
        <is>
          <t>X</t>
        </is>
      </c>
      <c r="D16" s="15" t="n">
        <v>0.00147</v>
      </c>
      <c r="E16" s="14" t="inlineStr">
        <is>
          <t>14</t>
        </is>
      </c>
      <c r="F16" s="16" t="n">
        <v>11.4</v>
      </c>
      <c r="G16" s="16" t="n">
        <v>0</v>
      </c>
      <c r="H16" s="16" t="n">
        <v>19</v>
      </c>
      <c r="I16" s="14">
        <f>IF(D16&lt;=$L$4,"Ok","NOT OK")</f>
        <v/>
      </c>
      <c r="J16" s="17" t="inlineStr"/>
      <c r="K16" s="17" t="inlineStr"/>
      <c r="L16" s="17" t="inlineStr"/>
    </row>
    <row r="17">
      <c r="A17" s="8" t="inlineStr">
        <is>
          <t>TopRoof</t>
        </is>
      </c>
      <c r="B17" s="9" t="inlineStr">
        <is>
          <t>DEXA</t>
        </is>
      </c>
      <c r="C17" s="9" t="inlineStr">
        <is>
          <t>X</t>
        </is>
      </c>
      <c r="D17" s="10" t="n">
        <v>0.001362</v>
      </c>
      <c r="E17" s="9" t="inlineStr">
        <is>
          <t>66</t>
        </is>
      </c>
      <c r="F17" s="11" t="n">
        <v>13.5</v>
      </c>
      <c r="G17" s="11" t="n">
        <v>11.9</v>
      </c>
      <c r="H17" s="11" t="n">
        <v>22.2</v>
      </c>
      <c r="I17" s="9">
        <f>IF(D17&lt;=$L$4,"Ok","NOT OK")</f>
        <v/>
      </c>
      <c r="J17" s="12" t="inlineStr"/>
      <c r="K17" s="12" t="inlineStr"/>
      <c r="L17" s="12" t="inlineStr"/>
    </row>
    <row r="18">
      <c r="A18" s="13" t="inlineStr">
        <is>
          <t>TopRoof</t>
        </is>
      </c>
      <c r="B18" s="14" t="inlineStr">
        <is>
          <t>DEXB</t>
        </is>
      </c>
      <c r="C18" s="14" t="inlineStr">
        <is>
          <t>X</t>
        </is>
      </c>
      <c r="D18" s="15" t="n">
        <v>0.001373</v>
      </c>
      <c r="E18" s="14" t="inlineStr">
        <is>
          <t>23</t>
        </is>
      </c>
      <c r="F18" s="16" t="n">
        <v>13.5</v>
      </c>
      <c r="G18" s="16" t="n">
        <v>6.6</v>
      </c>
      <c r="H18" s="16" t="n">
        <v>22.2</v>
      </c>
      <c r="I18" s="14">
        <f>IF(D18&lt;=$L$4,"Ok","NOT OK")</f>
        <v/>
      </c>
      <c r="J18" s="17" t="inlineStr"/>
      <c r="K18" s="17" t="inlineStr"/>
      <c r="L18" s="17" t="inlineStr"/>
    </row>
  </sheetData>
  <autoFilter ref="A2:I18"/>
  <mergeCells count="1">
    <mergeCell ref="A1:L1"/>
  </mergeCells>
  <conditionalFormatting sqref="I5:I18">
    <cfRule type="expression" priority="1" dxfId="0">
      <formula>=ISNUMBER(SEARCH("Ok", I5))</formula>
    </cfRule>
    <cfRule type="expression" priority="2" dxfId="1">
      <formula>=ISNUMBER(SEARCH("NOT OK", I5))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5" customWidth="1" min="10" max="10"/>
    <col width="12" customWidth="1" min="11" max="11"/>
    <col width="12" customWidth="1" min="12" max="12"/>
  </cols>
  <sheetData>
    <row r="1" ht="40" customHeight="1">
      <c r="A1" s="1" t="inlineStr">
        <is>
          <t>Check of Story Drift Ratios - Direction Y</t>
        </is>
      </c>
    </row>
    <row r="2" ht="35" customHeight="1">
      <c r="A2" s="2" t="inlineStr">
        <is>
          <t>Story</t>
        </is>
      </c>
      <c r="B2" s="2" t="inlineStr">
        <is>
          <t>Output Case</t>
        </is>
      </c>
      <c r="C2" s="2" t="inlineStr">
        <is>
          <t>Direction</t>
        </is>
      </c>
      <c r="D2" s="2" t="inlineStr">
        <is>
          <t>DRe (m)</t>
        </is>
      </c>
      <c r="E2" s="2" t="inlineStr">
        <is>
          <t>Point</t>
        </is>
      </c>
      <c r="F2" s="2" t="inlineStr">
        <is>
          <t>X (m)</t>
        </is>
      </c>
      <c r="G2" s="2" t="inlineStr">
        <is>
          <t>Y (m)</t>
        </is>
      </c>
      <c r="H2" s="2" t="inlineStr">
        <is>
          <t>Z (m)</t>
        </is>
      </c>
      <c r="I2" s="2" t="inlineStr">
        <is>
          <t>Check</t>
        </is>
      </c>
      <c r="J2" s="2" t="inlineStr"/>
      <c r="K2" s="2" t="inlineStr">
        <is>
          <t>RY=</t>
        </is>
      </c>
      <c r="L2" s="3" t="n">
        <v>5</v>
      </c>
    </row>
    <row r="3" ht="22" customHeight="1">
      <c r="A3" s="4" t="inlineStr"/>
      <c r="B3" s="4" t="inlineStr"/>
      <c r="C3" s="4" t="inlineStr"/>
      <c r="D3" s="4" t="inlineStr"/>
      <c r="E3" s="4" t="inlineStr"/>
      <c r="F3" s="4" t="inlineStr">
        <is>
          <t>m</t>
        </is>
      </c>
      <c r="G3" s="4" t="inlineStr">
        <is>
          <t>m</t>
        </is>
      </c>
      <c r="H3" s="4" t="inlineStr">
        <is>
          <t>m</t>
        </is>
      </c>
      <c r="I3" s="4" t="inlineStr"/>
      <c r="J3" s="4" t="inlineStr"/>
      <c r="K3" s="4" t="inlineStr">
        <is>
          <t>TBY [sec]=</t>
        </is>
      </c>
      <c r="L3" s="5" t="n">
        <v>0.363</v>
      </c>
    </row>
    <row r="4">
      <c r="K4" s="6" t="inlineStr">
        <is>
          <t>DRa=</t>
        </is>
      </c>
      <c r="L4" s="7">
        <f>IF(L3&gt;0.7,0.02/(0.7*L2),0.025/(0.7*L2))</f>
        <v/>
      </c>
    </row>
    <row r="5">
      <c r="A5" s="8" t="inlineStr">
        <is>
          <t>Parking</t>
        </is>
      </c>
      <c r="B5" s="9" t="inlineStr">
        <is>
          <t>DEYA</t>
        </is>
      </c>
      <c r="C5" s="9" t="inlineStr">
        <is>
          <t>Y</t>
        </is>
      </c>
      <c r="D5" s="10" t="n">
        <v>0.000158</v>
      </c>
      <c r="E5" s="9" t="inlineStr">
        <is>
          <t>79</t>
        </is>
      </c>
      <c r="F5" s="11" t="n">
        <v>34.3</v>
      </c>
      <c r="G5" s="11" t="n">
        <v>17.5</v>
      </c>
      <c r="H5" s="11" t="n">
        <v>3</v>
      </c>
      <c r="I5" s="9">
        <f>IF(D5&lt;=$L$4,"Ok","NOT OK")</f>
        <v/>
      </c>
      <c r="J5" s="12" t="inlineStr"/>
      <c r="K5" s="12" t="inlineStr"/>
      <c r="L5" s="12" t="inlineStr"/>
    </row>
    <row r="6">
      <c r="A6" s="13" t="inlineStr">
        <is>
          <t>Parking</t>
        </is>
      </c>
      <c r="B6" s="14" t="inlineStr">
        <is>
          <t>DEYB</t>
        </is>
      </c>
      <c r="C6" s="14" t="inlineStr">
        <is>
          <t>Y</t>
        </is>
      </c>
      <c r="D6" s="15" t="n">
        <v>0.000165</v>
      </c>
      <c r="E6" s="14" t="inlineStr">
        <is>
          <t>1</t>
        </is>
      </c>
      <c r="F6" s="16" t="n">
        <v>-4</v>
      </c>
      <c r="G6" s="16" t="n">
        <v>-4</v>
      </c>
      <c r="H6" s="16" t="n">
        <v>3</v>
      </c>
      <c r="I6" s="14">
        <f>IF(D6&lt;=$L$4,"Ok","NOT OK")</f>
        <v/>
      </c>
      <c r="J6" s="17" t="inlineStr"/>
      <c r="K6" s="17" t="inlineStr"/>
      <c r="L6" s="17" t="inlineStr"/>
    </row>
    <row r="7">
      <c r="A7" s="8" t="inlineStr">
        <is>
          <t>Floor1</t>
        </is>
      </c>
      <c r="B7" s="9" t="inlineStr">
        <is>
          <t>DEYA</t>
        </is>
      </c>
      <c r="C7" s="9" t="inlineStr">
        <is>
          <t>Y</t>
        </is>
      </c>
      <c r="D7" s="10" t="n">
        <v>0.000464</v>
      </c>
      <c r="E7" s="9" t="inlineStr">
        <is>
          <t>73</t>
        </is>
      </c>
      <c r="F7" s="11" t="n">
        <v>0</v>
      </c>
      <c r="G7" s="11" t="n">
        <v>17.5</v>
      </c>
      <c r="H7" s="11" t="n">
        <v>6.2</v>
      </c>
      <c r="I7" s="9">
        <f>IF(D7&lt;=$L$4,"Ok","NOT OK")</f>
        <v/>
      </c>
      <c r="J7" s="12" t="inlineStr"/>
      <c r="K7" s="12" t="inlineStr"/>
      <c r="L7" s="12" t="inlineStr"/>
    </row>
    <row r="8">
      <c r="A8" s="13" t="inlineStr">
        <is>
          <t>Floor1</t>
        </is>
      </c>
      <c r="B8" s="14" t="inlineStr">
        <is>
          <t>DEYB</t>
        </is>
      </c>
      <c r="C8" s="14" t="inlineStr">
        <is>
          <t>Y</t>
        </is>
      </c>
      <c r="D8" s="15" t="n">
        <v>0.000786</v>
      </c>
      <c r="E8" s="14" t="inlineStr">
        <is>
          <t>73</t>
        </is>
      </c>
      <c r="F8" s="16" t="n">
        <v>0</v>
      </c>
      <c r="G8" s="16" t="n">
        <v>17.5</v>
      </c>
      <c r="H8" s="16" t="n">
        <v>6.2</v>
      </c>
      <c r="I8" s="14">
        <f>IF(D8&lt;=$L$4,"Ok","NOT OK")</f>
        <v/>
      </c>
      <c r="J8" s="17" t="inlineStr"/>
      <c r="K8" s="17" t="inlineStr"/>
      <c r="L8" s="17" t="inlineStr"/>
    </row>
    <row r="9">
      <c r="A9" s="8" t="inlineStr">
        <is>
          <t>Floor2</t>
        </is>
      </c>
      <c r="B9" s="9" t="inlineStr">
        <is>
          <t>DEYA</t>
        </is>
      </c>
      <c r="C9" s="9" t="inlineStr">
        <is>
          <t>Y</t>
        </is>
      </c>
      <c r="D9" s="10" t="n">
        <v>0.000638</v>
      </c>
      <c r="E9" s="9" t="inlineStr">
        <is>
          <t>73</t>
        </is>
      </c>
      <c r="F9" s="11" t="n">
        <v>0</v>
      </c>
      <c r="G9" s="11" t="n">
        <v>17.5</v>
      </c>
      <c r="H9" s="11" t="n">
        <v>9.4</v>
      </c>
      <c r="I9" s="9">
        <f>IF(D9&lt;=$L$4,"Ok","NOT OK")</f>
        <v/>
      </c>
      <c r="J9" s="12" t="inlineStr"/>
      <c r="K9" s="12" t="inlineStr"/>
      <c r="L9" s="12" t="inlineStr"/>
    </row>
    <row r="10">
      <c r="A10" s="13" t="inlineStr">
        <is>
          <t>Floor2</t>
        </is>
      </c>
      <c r="B10" s="14" t="inlineStr">
        <is>
          <t>DEYB</t>
        </is>
      </c>
      <c r="C10" s="14" t="inlineStr">
        <is>
          <t>Y</t>
        </is>
      </c>
      <c r="D10" s="15" t="n">
        <v>0.001052</v>
      </c>
      <c r="E10" s="14" t="inlineStr">
        <is>
          <t>73</t>
        </is>
      </c>
      <c r="F10" s="16" t="n">
        <v>0</v>
      </c>
      <c r="G10" s="16" t="n">
        <v>17.5</v>
      </c>
      <c r="H10" s="16" t="n">
        <v>9.4</v>
      </c>
      <c r="I10" s="14">
        <f>IF(D10&lt;=$L$4,"Ok","NOT OK")</f>
        <v/>
      </c>
      <c r="J10" s="17" t="inlineStr"/>
      <c r="K10" s="17" t="inlineStr"/>
      <c r="L10" s="17" t="inlineStr"/>
    </row>
    <row r="11">
      <c r="A11" s="8" t="inlineStr">
        <is>
          <t>Floor3</t>
        </is>
      </c>
      <c r="B11" s="9" t="inlineStr">
        <is>
          <t>DEYA</t>
        </is>
      </c>
      <c r="C11" s="9" t="inlineStr">
        <is>
          <t>Y</t>
        </is>
      </c>
      <c r="D11" s="10" t="n">
        <v>0.000739</v>
      </c>
      <c r="E11" s="9" t="inlineStr">
        <is>
          <t>73</t>
        </is>
      </c>
      <c r="F11" s="11" t="n">
        <v>0</v>
      </c>
      <c r="G11" s="11" t="n">
        <v>17.5</v>
      </c>
      <c r="H11" s="11" t="n">
        <v>12.6</v>
      </c>
      <c r="I11" s="9">
        <f>IF(D11&lt;=$L$4,"Ok","NOT OK")</f>
        <v/>
      </c>
      <c r="J11" s="12" t="inlineStr"/>
      <c r="K11" s="12" t="inlineStr"/>
      <c r="L11" s="12" t="inlineStr"/>
    </row>
    <row r="12">
      <c r="A12" s="13" t="inlineStr">
        <is>
          <t>Floor3</t>
        </is>
      </c>
      <c r="B12" s="14" t="inlineStr">
        <is>
          <t>DEYB</t>
        </is>
      </c>
      <c r="C12" s="14" t="inlineStr">
        <is>
          <t>Y</t>
        </is>
      </c>
      <c r="D12" s="15" t="n">
        <v>0.001191</v>
      </c>
      <c r="E12" s="14" t="inlineStr">
        <is>
          <t>73</t>
        </is>
      </c>
      <c r="F12" s="16" t="n">
        <v>0</v>
      </c>
      <c r="G12" s="16" t="n">
        <v>17.5</v>
      </c>
      <c r="H12" s="16" t="n">
        <v>12.6</v>
      </c>
      <c r="I12" s="14">
        <f>IF(D12&lt;=$L$4,"Ok","NOT OK")</f>
        <v/>
      </c>
      <c r="J12" s="17" t="inlineStr"/>
      <c r="K12" s="17" t="inlineStr"/>
      <c r="L12" s="17" t="inlineStr"/>
    </row>
    <row r="13">
      <c r="A13" s="8" t="inlineStr">
        <is>
          <t>Floor4</t>
        </is>
      </c>
      <c r="B13" s="9" t="inlineStr">
        <is>
          <t>DEYA</t>
        </is>
      </c>
      <c r="C13" s="9" t="inlineStr">
        <is>
          <t>Y</t>
        </is>
      </c>
      <c r="D13" s="10" t="n">
        <v>0.000766</v>
      </c>
      <c r="E13" s="9" t="inlineStr">
        <is>
          <t>73</t>
        </is>
      </c>
      <c r="F13" s="11" t="n">
        <v>0</v>
      </c>
      <c r="G13" s="11" t="n">
        <v>17.5</v>
      </c>
      <c r="H13" s="11" t="n">
        <v>15.8</v>
      </c>
      <c r="I13" s="9">
        <f>IF(D13&lt;=$L$4,"Ok","NOT OK")</f>
        <v/>
      </c>
      <c r="J13" s="12" t="inlineStr"/>
      <c r="K13" s="12" t="inlineStr"/>
      <c r="L13" s="12" t="inlineStr"/>
    </row>
    <row r="14">
      <c r="A14" s="13" t="inlineStr">
        <is>
          <t>Floor4</t>
        </is>
      </c>
      <c r="B14" s="14" t="inlineStr">
        <is>
          <t>DEYB</t>
        </is>
      </c>
      <c r="C14" s="14" t="inlineStr">
        <is>
          <t>Y</t>
        </is>
      </c>
      <c r="D14" s="15" t="n">
        <v>0.001199</v>
      </c>
      <c r="E14" s="14" t="inlineStr">
        <is>
          <t>73</t>
        </is>
      </c>
      <c r="F14" s="16" t="n">
        <v>0</v>
      </c>
      <c r="G14" s="16" t="n">
        <v>17.5</v>
      </c>
      <c r="H14" s="16" t="n">
        <v>15.8</v>
      </c>
      <c r="I14" s="14">
        <f>IF(D14&lt;=$L$4,"Ok","NOT OK")</f>
        <v/>
      </c>
      <c r="J14" s="17" t="inlineStr"/>
      <c r="K14" s="17" t="inlineStr"/>
      <c r="L14" s="17" t="inlineStr"/>
    </row>
    <row r="15">
      <c r="A15" s="8" t="inlineStr">
        <is>
          <t>Roof</t>
        </is>
      </c>
      <c r="B15" s="9" t="inlineStr">
        <is>
          <t>DEYA</t>
        </is>
      </c>
      <c r="C15" s="9" t="inlineStr">
        <is>
          <t>Y</t>
        </is>
      </c>
      <c r="D15" s="10" t="n">
        <v>0.000748</v>
      </c>
      <c r="E15" s="9" t="inlineStr">
        <is>
          <t>73</t>
        </is>
      </c>
      <c r="F15" s="11" t="n">
        <v>0</v>
      </c>
      <c r="G15" s="11" t="n">
        <v>17.5</v>
      </c>
      <c r="H15" s="11" t="n">
        <v>19</v>
      </c>
      <c r="I15" s="9">
        <f>IF(D15&lt;=$L$4,"Ok","NOT OK")</f>
        <v/>
      </c>
      <c r="J15" s="12" t="inlineStr"/>
      <c r="K15" s="12" t="inlineStr"/>
      <c r="L15" s="12" t="inlineStr"/>
    </row>
    <row r="16">
      <c r="A16" s="13" t="inlineStr">
        <is>
          <t>Roof</t>
        </is>
      </c>
      <c r="B16" s="14" t="inlineStr">
        <is>
          <t>DEYB</t>
        </is>
      </c>
      <c r="C16" s="14" t="inlineStr">
        <is>
          <t>Y</t>
        </is>
      </c>
      <c r="D16" s="15" t="n">
        <v>0.001135</v>
      </c>
      <c r="E16" s="14" t="inlineStr">
        <is>
          <t>73</t>
        </is>
      </c>
      <c r="F16" s="16" t="n">
        <v>0</v>
      </c>
      <c r="G16" s="16" t="n">
        <v>17.5</v>
      </c>
      <c r="H16" s="16" t="n">
        <v>19</v>
      </c>
      <c r="I16" s="14">
        <f>IF(D16&lt;=$L$4,"Ok","NOT OK")</f>
        <v/>
      </c>
      <c r="J16" s="17" t="inlineStr"/>
      <c r="K16" s="17" t="inlineStr"/>
      <c r="L16" s="17" t="inlineStr"/>
    </row>
    <row r="17">
      <c r="A17" s="8" t="inlineStr">
        <is>
          <t>TopRoof</t>
        </is>
      </c>
      <c r="B17" s="9" t="inlineStr">
        <is>
          <t>DEYA</t>
        </is>
      </c>
      <c r="C17" s="9" t="inlineStr">
        <is>
          <t>Y</t>
        </is>
      </c>
      <c r="D17" s="10" t="n">
        <v>0.000639</v>
      </c>
      <c r="E17" s="9" t="inlineStr">
        <is>
          <t>66</t>
        </is>
      </c>
      <c r="F17" s="11" t="n">
        <v>13.5</v>
      </c>
      <c r="G17" s="11" t="n">
        <v>11.9</v>
      </c>
      <c r="H17" s="11" t="n">
        <v>22.2</v>
      </c>
      <c r="I17" s="9">
        <f>IF(D17&lt;=$L$4,"Ok","NOT OK")</f>
        <v/>
      </c>
      <c r="J17" s="12" t="inlineStr"/>
      <c r="K17" s="12" t="inlineStr"/>
      <c r="L17" s="12" t="inlineStr"/>
    </row>
    <row r="18">
      <c r="A18" s="13" t="inlineStr">
        <is>
          <t>TopRoof</t>
        </is>
      </c>
      <c r="B18" s="14" t="inlineStr">
        <is>
          <t>DEYB</t>
        </is>
      </c>
      <c r="C18" s="14" t="inlineStr">
        <is>
          <t>Y</t>
        </is>
      </c>
      <c r="D18" s="15" t="n">
        <v>0.000699</v>
      </c>
      <c r="E18" s="14" t="inlineStr">
        <is>
          <t>66</t>
        </is>
      </c>
      <c r="F18" s="16" t="n">
        <v>13.5</v>
      </c>
      <c r="G18" s="16" t="n">
        <v>11.9</v>
      </c>
      <c r="H18" s="16" t="n">
        <v>22.2</v>
      </c>
      <c r="I18" s="14">
        <f>IF(D18&lt;=$L$4,"Ok","NOT OK")</f>
        <v/>
      </c>
      <c r="J18" s="17" t="inlineStr"/>
      <c r="K18" s="17" t="inlineStr"/>
      <c r="L18" s="17" t="inlineStr"/>
    </row>
  </sheetData>
  <autoFilter ref="A2:I18"/>
  <mergeCells count="1">
    <mergeCell ref="A1:L1"/>
  </mergeCells>
  <conditionalFormatting sqref="I5:I18">
    <cfRule type="expression" priority="1" dxfId="0">
      <formula>=ISNUMBER(SEARCH("Ok", I5))</formula>
    </cfRule>
    <cfRule type="expression" priority="2" dxfId="1">
      <formula>=ISNUMBER(SEARCH("NOT OK", I5))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2026-10-22T12:35:50Z</dcterms:created>
  <dcterms:modified xsi:type="dcterms:W3CDTF">2026-10-22T12:35:50Z</dcterms:modified>
</cp:coreProperties>
</file>