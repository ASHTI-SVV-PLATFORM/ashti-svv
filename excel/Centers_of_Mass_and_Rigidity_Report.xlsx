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rs of Mass and Rig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20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8" customWidth="1" min="11" max="11"/>
    <col width="9" customWidth="1" min="12" max="12"/>
  </cols>
  <sheetData>
    <row r="1" ht="24" customHeight="1">
      <c r="A1" s="1" t="inlineStr">
        <is>
          <t>TABLE:  Centers of Mass and Rigidity</t>
        </is>
      </c>
    </row>
    <row r="2">
      <c r="A2" s="2" t="inlineStr">
        <is>
          <t>Story</t>
        </is>
      </c>
      <c r="B2" s="2" t="inlineStr">
        <is>
          <t>Diaphragm</t>
        </is>
      </c>
      <c r="C2" s="2" t="inlineStr">
        <is>
          <t>massx</t>
        </is>
      </c>
      <c r="D2" s="2" t="inlineStr">
        <is>
          <t>massy</t>
        </is>
      </c>
      <c r="E2" s="2" t="inlineStr">
        <is>
          <t>XCM</t>
        </is>
      </c>
      <c r="F2" s="2" t="inlineStr">
        <is>
          <t>YCM</t>
        </is>
      </c>
      <c r="G2" s="2" t="inlineStr">
        <is>
          <t>XCR</t>
        </is>
      </c>
      <c r="H2" s="2" t="inlineStr">
        <is>
          <t>YCR</t>
        </is>
      </c>
      <c r="I2" s="2" t="inlineStr">
        <is>
          <t>ex %</t>
        </is>
      </c>
      <c r="J2" s="2" t="inlineStr">
        <is>
          <t>ey %</t>
        </is>
      </c>
      <c r="K2" s="2" t="inlineStr">
        <is>
          <t>Ly</t>
        </is>
      </c>
      <c r="L2" s="2" t="inlineStr">
        <is>
          <t>Lx</t>
        </is>
      </c>
    </row>
    <row r="3">
      <c r="A3" s="3" t="inlineStr"/>
      <c r="B3" s="3" t="inlineStr"/>
      <c r="C3" s="4" t="inlineStr">
        <is>
          <t>kg</t>
        </is>
      </c>
      <c r="D3" s="4" t="inlineStr">
        <is>
          <t>kg</t>
        </is>
      </c>
      <c r="E3" s="4" t="inlineStr">
        <is>
          <t>m</t>
        </is>
      </c>
      <c r="F3" s="4" t="inlineStr">
        <is>
          <t>m</t>
        </is>
      </c>
      <c r="G3" s="4" t="inlineStr">
        <is>
          <t>m</t>
        </is>
      </c>
      <c r="H3" s="4" t="inlineStr">
        <is>
          <t>m</t>
        </is>
      </c>
      <c r="I3" s="4" t="inlineStr">
        <is>
          <t>%</t>
        </is>
      </c>
      <c r="J3" s="4" t="inlineStr">
        <is>
          <t>%</t>
        </is>
      </c>
      <c r="K3" s="4" t="inlineStr">
        <is>
          <t>m</t>
        </is>
      </c>
      <c r="L3" s="4" t="inlineStr">
        <is>
          <t>m</t>
        </is>
      </c>
    </row>
    <row r="4">
      <c r="A4" s="5" t="inlineStr">
        <is>
          <t>Parking</t>
        </is>
      </c>
      <c r="B4" s="5" t="inlineStr">
        <is>
          <t>DPG</t>
        </is>
      </c>
      <c r="C4" s="6" t="n">
        <v>1059146.3</v>
      </c>
      <c r="D4" s="6" t="n">
        <v>1059146.3</v>
      </c>
      <c r="E4" s="7" t="n">
        <v>14.2103</v>
      </c>
      <c r="F4" s="7" t="n">
        <v>8.766500000000001</v>
      </c>
      <c r="G4" s="7" t="n">
        <v>14.8403</v>
      </c>
      <c r="H4" s="7" t="n">
        <v>8.9344</v>
      </c>
      <c r="I4" s="5">
        <f>(G4-E4)/L4*100</f>
        <v/>
      </c>
      <c r="J4" s="5">
        <f>(F4-H4)/K4*100</f>
        <v/>
      </c>
      <c r="K4" s="7" t="n">
        <v>25.5</v>
      </c>
      <c r="L4" s="7" t="n">
        <v>38.3</v>
      </c>
    </row>
    <row r="5">
      <c r="A5" s="5" t="inlineStr">
        <is>
          <t>Floor1</t>
        </is>
      </c>
      <c r="B5" s="5" t="inlineStr">
        <is>
          <t>DF1</t>
        </is>
      </c>
      <c r="C5" s="6" t="n">
        <v>704841.1</v>
      </c>
      <c r="D5" s="6" t="n">
        <v>704841.1</v>
      </c>
      <c r="E5" s="7" t="n">
        <v>14.8193</v>
      </c>
      <c r="F5" s="7" t="n">
        <v>8.781499999999999</v>
      </c>
      <c r="G5" s="7" t="n">
        <v>16.0844</v>
      </c>
      <c r="H5" s="7" t="n">
        <v>9.197899999999999</v>
      </c>
      <c r="I5" s="5">
        <f>(G5-E5)/L5*100</f>
        <v/>
      </c>
      <c r="J5" s="5">
        <f>(F5-H5)/K5*100</f>
        <v/>
      </c>
      <c r="K5" s="7" t="n">
        <v>17.5</v>
      </c>
      <c r="L5" s="7" t="n">
        <v>32.7583</v>
      </c>
    </row>
    <row r="6">
      <c r="A6" s="5" t="inlineStr">
        <is>
          <t>Floor2</t>
        </is>
      </c>
      <c r="B6" s="5" t="inlineStr">
        <is>
          <t>DF2</t>
        </is>
      </c>
      <c r="C6" s="6" t="n">
        <v>702301.2</v>
      </c>
      <c r="D6" s="6" t="n">
        <v>702301.2</v>
      </c>
      <c r="E6" s="7" t="n">
        <v>14.812</v>
      </c>
      <c r="F6" s="7" t="n">
        <v>8.7798</v>
      </c>
      <c r="G6" s="7" t="n">
        <v>16.5079</v>
      </c>
      <c r="H6" s="7" t="n">
        <v>9.203899999999999</v>
      </c>
      <c r="I6" s="5">
        <f>(G6-E6)/L6*100</f>
        <v/>
      </c>
      <c r="J6" s="5">
        <f>(F6-H6)/K6*100</f>
        <v/>
      </c>
      <c r="K6" s="7" t="n">
        <v>17.5</v>
      </c>
      <c r="L6" s="7" t="n">
        <v>32.7583</v>
      </c>
    </row>
    <row r="7">
      <c r="A7" s="5" t="inlineStr">
        <is>
          <t>Floor3</t>
        </is>
      </c>
      <c r="B7" s="5" t="inlineStr">
        <is>
          <t>DF3</t>
        </is>
      </c>
      <c r="C7" s="6" t="n">
        <v>699592.5</v>
      </c>
      <c r="D7" s="6" t="n">
        <v>699592.5</v>
      </c>
      <c r="E7" s="7" t="n">
        <v>14.8036</v>
      </c>
      <c r="F7" s="7" t="n">
        <v>8.778</v>
      </c>
      <c r="G7" s="7" t="n">
        <v>16.7347</v>
      </c>
      <c r="H7" s="7" t="n">
        <v>9.1983</v>
      </c>
      <c r="I7" s="5">
        <f>(G7-E7)/L7*100</f>
        <v/>
      </c>
      <c r="J7" s="5">
        <f>(F7-H7)/K7*100</f>
        <v/>
      </c>
      <c r="K7" s="7" t="n">
        <v>17.5</v>
      </c>
      <c r="L7" s="7" t="n">
        <v>32.7583</v>
      </c>
    </row>
    <row r="8">
      <c r="A8" s="5" t="inlineStr">
        <is>
          <t>Floor4</t>
        </is>
      </c>
      <c r="B8" s="5" t="inlineStr">
        <is>
          <t>DF4</t>
        </is>
      </c>
      <c r="C8" s="6" t="n">
        <v>697052.6</v>
      </c>
      <c r="D8" s="6" t="n">
        <v>697052.6</v>
      </c>
      <c r="E8" s="7" t="n">
        <v>14.7961</v>
      </c>
      <c r="F8" s="7" t="n">
        <v>8.776299999999999</v>
      </c>
      <c r="G8" s="7" t="n">
        <v>16.8906</v>
      </c>
      <c r="H8" s="7" t="n">
        <v>9.190799999999999</v>
      </c>
      <c r="I8" s="5">
        <f>(G8-E8)/L8*100</f>
        <v/>
      </c>
      <c r="J8" s="5">
        <f>(F8-H8)/K8*100</f>
        <v/>
      </c>
      <c r="K8" s="7" t="n">
        <v>17.5</v>
      </c>
      <c r="L8" s="7" t="n">
        <v>32.7583</v>
      </c>
    </row>
    <row r="9">
      <c r="A9" s="5" t="inlineStr">
        <is>
          <t>Roof</t>
        </is>
      </c>
      <c r="B9" s="5" t="inlineStr">
        <is>
          <t>DRF</t>
        </is>
      </c>
      <c r="C9" s="6" t="n">
        <v>549063.5</v>
      </c>
      <c r="D9" s="6" t="n">
        <v>549063.5</v>
      </c>
      <c r="E9" s="7" t="n">
        <v>15.0764</v>
      </c>
      <c r="F9" s="7" t="n">
        <v>8.747299999999999</v>
      </c>
      <c r="G9" s="7" t="n">
        <v>17.011</v>
      </c>
      <c r="H9" s="7" t="n">
        <v>9.182799999999999</v>
      </c>
      <c r="I9" s="5">
        <f>(G9-E9)/L9*100</f>
        <v/>
      </c>
      <c r="J9" s="5">
        <f>(F9-H9)/K9*100</f>
        <v/>
      </c>
      <c r="K9" s="7" t="n">
        <v>17.5</v>
      </c>
      <c r="L9" s="7" t="n">
        <v>30.3</v>
      </c>
    </row>
    <row r="10">
      <c r="A10" s="5" t="inlineStr">
        <is>
          <t>TopRoof</t>
        </is>
      </c>
      <c r="B10" s="5" t="inlineStr">
        <is>
          <t>DTR</t>
        </is>
      </c>
      <c r="C10" s="6" t="n">
        <v>47953.4</v>
      </c>
      <c r="D10" s="6" t="n">
        <v>47953.4</v>
      </c>
      <c r="E10" s="7" t="n">
        <v>18.2326</v>
      </c>
      <c r="F10" s="7" t="n">
        <v>9.25</v>
      </c>
      <c r="G10" s="7" t="n">
        <v>17.1926</v>
      </c>
      <c r="H10" s="7" t="n">
        <v>9.187299999999999</v>
      </c>
      <c r="I10" s="5">
        <f>(G10-E10)/L10*100</f>
        <v/>
      </c>
      <c r="J10" s="5">
        <f>(F10-H10)/K10*100</f>
        <v/>
      </c>
      <c r="K10" s="7" t="n">
        <v>5.3</v>
      </c>
      <c r="L10" s="7" t="n">
        <v>9.800000000000001</v>
      </c>
    </row>
  </sheetData>
  <mergeCells count="1">
    <mergeCell ref="A1:L1"/>
  </mergeCells>
  <conditionalFormatting sqref="I4:I10">
    <cfRule type="cellIs" priority="1" operator="greaterThan" dxfId="0">
      <formula>5.0</formula>
    </cfRule>
    <cfRule type="cellIs" priority="2" operator="lessThan" dxfId="0">
      <formula>-5.0</formula>
    </cfRule>
  </conditionalFormatting>
  <conditionalFormatting sqref="J4:J10">
    <cfRule type="cellIs" priority="3" operator="greaterThan" dxfId="0">
      <formula>5.0</formula>
    </cfRule>
    <cfRule type="cellIs" priority="4" operator="lessThan" dxfId="0">
      <formula>-5.0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2026-10-22T12:35:48Z</dcterms:created>
  <dcterms:modified xsi:type="dcterms:W3CDTF">2026-10-22T12:35:48Z</dcterms:modified>
</cp:coreProperties>
</file>