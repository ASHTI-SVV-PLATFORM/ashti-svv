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</sheets>
  <definedNames>
    <definedName name="_xlnm._FilterDatabase" localSheetId="0" hidden="1">'X'!$A$2:$L$2</definedName>
    <definedName name="_xlnm.Print_Titles" localSheetId="0">'X'!$1:$2</definedName>
    <definedName name="_xlnm._FilterDatabase" localSheetId="1" hidden="1">'Y'!$A$2:$L$2</definedName>
    <definedName name="_xlnm.Print_Titles" localSheetId="1">'Y'!$1:$2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E6F0FA"/>
        <bgColor rgb="00E6F0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4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Stability coefficient (θ)-P-Delta Effects in X dir - Torsional Irregularity is Existing - Design Code: UBC97</t>
        </is>
      </c>
    </row>
    <row r="2" ht="38" customHeight="1">
      <c r="A2" s="2" t="inlineStr">
        <is>
          <t>Story</t>
        </is>
      </c>
      <c r="B2" s="2" t="inlineStr">
        <is>
          <t>hsx
(mm)</t>
        </is>
      </c>
      <c r="C2" s="2" t="inlineStr">
        <is>
          <t>Output
Case</t>
        </is>
      </c>
      <c r="D2" s="2" t="inlineStr">
        <is>
          <t>Δe max
(mm)</t>
        </is>
      </c>
      <c r="E2" s="2" t="inlineStr">
        <is>
          <t>PDL
(Bottom)
(kN)</t>
        </is>
      </c>
      <c r="F2" s="2" t="inlineStr">
        <is>
          <t>PLL
(Bottom)
(kN)</t>
        </is>
      </c>
      <c r="G2" s="2" t="inlineStr">
        <is>
          <t>Px
(Bottom)
(kN)</t>
        </is>
      </c>
      <c r="H2" s="2" t="inlineStr">
        <is>
          <t>V
(kN)</t>
        </is>
      </c>
      <c r="I2" s="2" t="inlineStr">
        <is>
          <t>θX</t>
        </is>
      </c>
      <c r="J2" s="2" t="inlineStr">
        <is>
          <t>P-Δ
check</t>
        </is>
      </c>
      <c r="K2" s="2" t="inlineStr">
        <is>
          <t>Story
Shear
(kN)</t>
        </is>
      </c>
      <c r="L2" s="2" t="inlineStr">
        <is>
          <t>θmax</t>
        </is>
      </c>
    </row>
    <row r="3">
      <c r="A3" s="3" t="inlineStr">
        <is>
          <t>TopRoof</t>
        </is>
      </c>
      <c r="B3" s="4" t="n">
        <v>3200</v>
      </c>
      <c r="C3" s="3" t="inlineStr">
        <is>
          <t>EX</t>
        </is>
      </c>
      <c r="D3" s="4" t="n">
        <v>4.353</v>
      </c>
      <c r="E3" s="4" t="n">
        <v>155.82</v>
      </c>
      <c r="F3" s="4" t="n">
        <v>0</v>
      </c>
      <c r="G3" s="3">
        <f>E3+F3</f>
        <v/>
      </c>
      <c r="H3" s="4" t="n">
        <v>218.7328</v>
      </c>
      <c r="I3" s="3">
        <f>(G3*D3)/(H3*B3)</f>
        <v/>
      </c>
      <c r="J3" s="3">
        <f>IF(I3&lt;=$L$3,"not required"," required")</f>
        <v/>
      </c>
      <c r="K3" s="3" t="n">
        <v>-218.7328</v>
      </c>
      <c r="L3" s="4" t="n">
        <v>0.1</v>
      </c>
    </row>
    <row r="4">
      <c r="A4" s="5" t="inlineStr">
        <is>
          <t>Roof</t>
        </is>
      </c>
      <c r="B4" s="6" t="n">
        <v>3200</v>
      </c>
      <c r="C4" s="5" t="n"/>
      <c r="D4" s="6" t="n">
        <v>4.521</v>
      </c>
      <c r="E4" s="6" t="n">
        <v>1845.55</v>
      </c>
      <c r="F4" s="6" t="n">
        <v>0</v>
      </c>
      <c r="G4" s="5">
        <f>E4+F4</f>
        <v/>
      </c>
      <c r="H4" s="6" t="n">
        <v>1804.5095</v>
      </c>
      <c r="I4" s="5">
        <f>(G4*D4)/(H4*B4)</f>
        <v/>
      </c>
      <c r="J4" s="5">
        <f>IF(I4&lt;=$L$3,"not required"," required")</f>
        <v/>
      </c>
      <c r="K4" s="5" t="n">
        <v>-1804.5095</v>
      </c>
      <c r="L4" s="5" t="n"/>
    </row>
    <row r="5">
      <c r="A5" s="3" t="inlineStr">
        <is>
          <t>Floor4</t>
        </is>
      </c>
      <c r="B5" s="4" t="n">
        <v>3200</v>
      </c>
      <c r="C5" s="3" t="n"/>
      <c r="D5" s="4" t="n">
        <v>4.622</v>
      </c>
      <c r="E5" s="4" t="n">
        <v>4666.9742</v>
      </c>
      <c r="F5" s="4" t="n">
        <v>1250.887</v>
      </c>
      <c r="G5" s="3">
        <f>E5+F5</f>
        <v/>
      </c>
      <c r="H5" s="4" t="n">
        <v>3473.3159</v>
      </c>
      <c r="I5" s="3">
        <f>(G5*D5)/(H5*B5)</f>
        <v/>
      </c>
      <c r="J5" s="3">
        <f>IF(I5&lt;=$L$3,"not required"," required")</f>
        <v/>
      </c>
      <c r="K5" s="3" t="n">
        <v>-3473.3159</v>
      </c>
      <c r="L5" s="3" t="n"/>
    </row>
    <row r="6">
      <c r="A6" s="5" t="inlineStr">
        <is>
          <t>Floor3</t>
        </is>
      </c>
      <c r="B6" s="6" t="n">
        <v>3200</v>
      </c>
      <c r="C6" s="5" t="n"/>
      <c r="D6" s="6" t="n">
        <v>4.457</v>
      </c>
      <c r="E6" s="6" t="n">
        <v>7488.3984</v>
      </c>
      <c r="F6" s="6" t="n">
        <v>2501.7741</v>
      </c>
      <c r="G6" s="5">
        <f>E6+F6</f>
        <v/>
      </c>
      <c r="H6" s="6" t="n">
        <v>4817.5279</v>
      </c>
      <c r="I6" s="5">
        <f>(G6*D6)/(H6*B6)</f>
        <v/>
      </c>
      <c r="J6" s="5">
        <f>IF(I6&lt;=$L$3,"not required"," required")</f>
        <v/>
      </c>
      <c r="K6" s="5" t="n">
        <v>-4817.5279</v>
      </c>
      <c r="L6" s="5" t="n"/>
    </row>
    <row r="7">
      <c r="A7" s="3" t="inlineStr">
        <is>
          <t>Floor2</t>
        </is>
      </c>
      <c r="B7" s="4" t="n">
        <v>3200</v>
      </c>
      <c r="C7" s="3" t="n"/>
      <c r="D7" s="4" t="n">
        <v>3.827</v>
      </c>
      <c r="E7" s="4" t="n">
        <v>10309.8227</v>
      </c>
      <c r="F7" s="4" t="n">
        <v>3752.6611</v>
      </c>
      <c r="G7" s="3">
        <f>E7+F7</f>
        <v/>
      </c>
      <c r="H7" s="4" t="n">
        <v>5830.8847</v>
      </c>
      <c r="I7" s="3">
        <f>(G7*D7)/(H7*B7)</f>
        <v/>
      </c>
      <c r="J7" s="3">
        <f>IF(I7&lt;=$L$3,"not required"," required")</f>
        <v/>
      </c>
      <c r="K7" s="3" t="n">
        <v>-5830.8847</v>
      </c>
      <c r="L7" s="3" t="n"/>
    </row>
    <row r="8">
      <c r="A8" s="5" t="inlineStr">
        <is>
          <t>Floor1</t>
        </is>
      </c>
      <c r="B8" s="6" t="n">
        <v>3200</v>
      </c>
      <c r="C8" s="5" t="n"/>
      <c r="D8" s="6" t="n">
        <v>2.786</v>
      </c>
      <c r="E8" s="6" t="n">
        <v>13131.2469</v>
      </c>
      <c r="F8" s="6" t="n">
        <v>5003.5482</v>
      </c>
      <c r="G8" s="5">
        <f>E8+F8</f>
        <v/>
      </c>
      <c r="H8" s="6" t="n">
        <v>6505.8586</v>
      </c>
      <c r="I8" s="5">
        <f>(G8*D8)/(H8*B8)</f>
        <v/>
      </c>
      <c r="J8" s="5">
        <f>IF(I8&lt;=$L$3,"not required"," required")</f>
        <v/>
      </c>
      <c r="K8" s="5" t="n">
        <v>-6505.8586</v>
      </c>
      <c r="L8" s="5" t="n"/>
    </row>
    <row r="9">
      <c r="A9" s="3" t="inlineStr">
        <is>
          <t>Parking</t>
        </is>
      </c>
      <c r="B9" s="4" t="n">
        <v>3000</v>
      </c>
      <c r="C9" s="3" t="n"/>
      <c r="D9" s="4" t="n">
        <v>0.537</v>
      </c>
      <c r="E9" s="4" t="n">
        <v>17068.2209</v>
      </c>
      <c r="F9" s="4" t="n">
        <v>6197.3282</v>
      </c>
      <c r="G9" s="3">
        <f>E9+F9</f>
        <v/>
      </c>
      <c r="H9" s="4" t="n">
        <v>7027.6379</v>
      </c>
      <c r="I9" s="3">
        <f>(G9*D9)/(H9*B9)</f>
        <v/>
      </c>
      <c r="J9" s="3">
        <f>IF(I9&lt;=$L$3,"not required"," required")</f>
        <v/>
      </c>
      <c r="K9" s="3" t="n">
        <v>-7027.6379</v>
      </c>
      <c r="L9" s="3" t="n"/>
    </row>
  </sheetData>
  <autoFilter ref="A2:L2"/>
  <mergeCells count="2">
    <mergeCell ref="A1:O1"/>
    <mergeCell ref="C3:C9"/>
  </mergeCells>
  <pageMargins left="0.75" right="0.75" top="1" bottom="1" header="0.5" footer="0.5"/>
  <pageSetup orientation="landscape" fitToHeight="0" fitToWidth="1"/>
  <headerFooter>
    <oddHeader/>
    <oddFooter>&amp;L&amp;10 P-Delta Investigation Engine&amp;C&amp;10 Page &amp;P of &amp;N&amp;R&amp;10 Generated: 2026-10-22 05:35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Stability coefficient (θ)-P-Delta Effects in Y dir - Torsional Irregularity is Existing - Design Code: UBC97</t>
        </is>
      </c>
    </row>
    <row r="2" ht="38" customHeight="1">
      <c r="A2" s="2" t="inlineStr">
        <is>
          <t>Story</t>
        </is>
      </c>
      <c r="B2" s="2" t="inlineStr">
        <is>
          <t>hsx
(mm)</t>
        </is>
      </c>
      <c r="C2" s="2" t="inlineStr">
        <is>
          <t>Output
Case</t>
        </is>
      </c>
      <c r="D2" s="2" t="inlineStr">
        <is>
          <t>Δe max
(mm)</t>
        </is>
      </c>
      <c r="E2" s="2" t="inlineStr">
        <is>
          <t>PDL
(Bottom)
(kN)</t>
        </is>
      </c>
      <c r="F2" s="2" t="inlineStr">
        <is>
          <t>PLL
(Bottom)
(kN)</t>
        </is>
      </c>
      <c r="G2" s="2" t="inlineStr">
        <is>
          <t>Px
(Bottom)
(kN)</t>
        </is>
      </c>
      <c r="H2" s="2" t="inlineStr">
        <is>
          <t>V
(kN)</t>
        </is>
      </c>
      <c r="I2" s="2" t="inlineStr">
        <is>
          <t>θY</t>
        </is>
      </c>
      <c r="J2" s="2" t="inlineStr">
        <is>
          <t>P-Δ
check</t>
        </is>
      </c>
      <c r="K2" s="2" t="inlineStr">
        <is>
          <t>Story
Shear
(kN)</t>
        </is>
      </c>
      <c r="L2" s="2" t="inlineStr">
        <is>
          <t>θmax</t>
        </is>
      </c>
    </row>
    <row r="3">
      <c r="A3" s="3" t="inlineStr">
        <is>
          <t>TopRoof</t>
        </is>
      </c>
      <c r="B3" s="4" t="n">
        <v>3200</v>
      </c>
      <c r="C3" s="3" t="inlineStr">
        <is>
          <t>EY</t>
        </is>
      </c>
      <c r="D3" s="4" t="n">
        <v>2.141</v>
      </c>
      <c r="E3" s="4" t="n">
        <v>155.82</v>
      </c>
      <c r="F3" s="4" t="n">
        <v>0</v>
      </c>
      <c r="G3" s="3">
        <f>E3+F3</f>
        <v/>
      </c>
      <c r="H3" s="4" t="n">
        <v>219.9772</v>
      </c>
      <c r="I3" s="3">
        <f>(G3*D3)/(H3*B3)</f>
        <v/>
      </c>
      <c r="J3" s="3">
        <f>IF(I3&lt;=$L$3,"not required"," required")</f>
        <v/>
      </c>
      <c r="K3" s="3" t="n">
        <v>-219.9772</v>
      </c>
      <c r="L3" s="4" t="n">
        <v>0.1</v>
      </c>
    </row>
    <row r="4">
      <c r="A4" s="5" t="inlineStr">
        <is>
          <t>Roof</t>
        </is>
      </c>
      <c r="B4" s="6" t="n">
        <v>3200</v>
      </c>
      <c r="C4" s="5" t="n"/>
      <c r="D4" s="6" t="n">
        <v>3.012</v>
      </c>
      <c r="E4" s="6" t="n">
        <v>1845.55</v>
      </c>
      <c r="F4" s="6" t="n">
        <v>0</v>
      </c>
      <c r="G4" s="5">
        <f>E4+F4</f>
        <v/>
      </c>
      <c r="H4" s="6" t="n">
        <v>1814.776</v>
      </c>
      <c r="I4" s="5">
        <f>(G4*D4)/(H4*B4)</f>
        <v/>
      </c>
      <c r="J4" s="5">
        <f>IF(I4&lt;=$L$3,"not required"," required")</f>
        <v/>
      </c>
      <c r="K4" s="5" t="n">
        <v>-1814.776</v>
      </c>
      <c r="L4" s="5" t="n"/>
    </row>
    <row r="5">
      <c r="A5" s="3" t="inlineStr">
        <is>
          <t>Floor4</t>
        </is>
      </c>
      <c r="B5" s="4" t="n">
        <v>3200</v>
      </c>
      <c r="C5" s="3" t="n"/>
      <c r="D5" s="4" t="n">
        <v>3.144</v>
      </c>
      <c r="E5" s="4" t="n">
        <v>4666.9742</v>
      </c>
      <c r="F5" s="4" t="n">
        <v>1250.887</v>
      </c>
      <c r="G5" s="3">
        <f>E5+F5</f>
        <v/>
      </c>
      <c r="H5" s="4" t="n">
        <v>3493.077</v>
      </c>
      <c r="I5" s="3">
        <f>(G5*D5)/(H5*B5)</f>
        <v/>
      </c>
      <c r="J5" s="3">
        <f>IF(I5&lt;=$L$3,"not required"," required")</f>
        <v/>
      </c>
      <c r="K5" s="3" t="n">
        <v>-3493.077</v>
      </c>
      <c r="L5" s="3" t="n"/>
    </row>
    <row r="6">
      <c r="A6" s="5" t="inlineStr">
        <is>
          <t>Floor3</t>
        </is>
      </c>
      <c r="B6" s="6" t="n">
        <v>3200</v>
      </c>
      <c r="C6" s="5" t="n"/>
      <c r="D6" s="6" t="n">
        <v>3.088</v>
      </c>
      <c r="E6" s="6" t="n">
        <v>7488.3984</v>
      </c>
      <c r="F6" s="6" t="n">
        <v>2501.7741</v>
      </c>
      <c r="G6" s="5">
        <f>E6+F6</f>
        <v/>
      </c>
      <c r="H6" s="6" t="n">
        <v>4844.9368</v>
      </c>
      <c r="I6" s="5">
        <f>(G6*D6)/(H6*B6)</f>
        <v/>
      </c>
      <c r="J6" s="5">
        <f>IF(I6&lt;=$L$3,"not required"," required")</f>
        <v/>
      </c>
      <c r="K6" s="5" t="n">
        <v>-4844.9368</v>
      </c>
      <c r="L6" s="5" t="n"/>
    </row>
    <row r="7">
      <c r="A7" s="3" t="inlineStr">
        <is>
          <t>Floor2</t>
        </is>
      </c>
      <c r="B7" s="4" t="n">
        <v>3200</v>
      </c>
      <c r="C7" s="3" t="n"/>
      <c r="D7" s="4" t="n">
        <v>2.704</v>
      </c>
      <c r="E7" s="4" t="n">
        <v>10309.8227</v>
      </c>
      <c r="F7" s="4" t="n">
        <v>3752.6611</v>
      </c>
      <c r="G7" s="3">
        <f>E7+F7</f>
        <v/>
      </c>
      <c r="H7" s="4" t="n">
        <v>5864.059</v>
      </c>
      <c r="I7" s="3">
        <f>(G7*D7)/(H7*B7)</f>
        <v/>
      </c>
      <c r="J7" s="3">
        <f>IF(I7&lt;=$L$3,"not required"," required")</f>
        <v/>
      </c>
      <c r="K7" s="3" t="n">
        <v>-5864.059</v>
      </c>
      <c r="L7" s="3" t="n"/>
    </row>
    <row r="8">
      <c r="A8" s="5" t="inlineStr">
        <is>
          <t>Floor1</t>
        </is>
      </c>
      <c r="B8" s="6" t="n">
        <v>3200</v>
      </c>
      <c r="C8" s="5" t="n"/>
      <c r="D8" s="6" t="n">
        <v>1.999</v>
      </c>
      <c r="E8" s="6" t="n">
        <v>13131.2469</v>
      </c>
      <c r="F8" s="6" t="n">
        <v>5003.5482</v>
      </c>
      <c r="G8" s="5">
        <f>E8+F8</f>
        <v/>
      </c>
      <c r="H8" s="6" t="n">
        <v>6542.873</v>
      </c>
      <c r="I8" s="5">
        <f>(G8*D8)/(H8*B8)</f>
        <v/>
      </c>
      <c r="J8" s="5">
        <f>IF(I8&lt;=$L$3,"not required"," required")</f>
        <v/>
      </c>
      <c r="K8" s="5" t="n">
        <v>-6542.873</v>
      </c>
      <c r="L8" s="5" t="n"/>
    </row>
    <row r="9">
      <c r="A9" s="3" t="inlineStr">
        <is>
          <t>Parking</t>
        </is>
      </c>
      <c r="B9" s="4" t="n">
        <v>3000</v>
      </c>
      <c r="C9" s="3" t="n"/>
      <c r="D9" s="4" t="n">
        <v>0.453</v>
      </c>
      <c r="E9" s="4" t="n">
        <v>17068.2209</v>
      </c>
      <c r="F9" s="4" t="n">
        <v>6197.3282</v>
      </c>
      <c r="G9" s="3">
        <f>E9+F9</f>
        <v/>
      </c>
      <c r="H9" s="4" t="n">
        <v>7067.621</v>
      </c>
      <c r="I9" s="3">
        <f>(G9*D9)/(H9*B9)</f>
        <v/>
      </c>
      <c r="J9" s="3">
        <f>IF(I9&lt;=$L$3,"not required"," required")</f>
        <v/>
      </c>
      <c r="K9" s="3" t="n">
        <v>-7067.621</v>
      </c>
      <c r="L9" s="3" t="n"/>
    </row>
  </sheetData>
  <autoFilter ref="A2:L2"/>
  <mergeCells count="2">
    <mergeCell ref="A1:O1"/>
    <mergeCell ref="C3:C9"/>
  </mergeCells>
  <pageMargins left="0.75" right="0.75" top="1" bottom="1" header="0.5" footer="0.5"/>
  <pageSetup orientation="landscape" fitToHeight="0" fitToWidth="1"/>
  <headerFooter>
    <oddHeader/>
    <oddFooter>&amp;L&amp;10 P-Delta Investigation Engine&amp;C&amp;10 Page &amp;P of &amp;N&amp;R&amp;10 Generated: 2026-10-22 05:35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2026-10-22T12:35:50Z</dcterms:created>
  <dcterms:modified xsi:type="dcterms:W3CDTF">2026-10-22T12:35:51Z</dcterms:modified>
</cp:coreProperties>
</file>