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y Max Avg Displacements" sheetId="1" state="visible" r:id="rId1"/>
  </sheets>
  <definedNames>
    <definedName name="_xlnm._FilterDatabase" localSheetId="0" hidden="1">'Story Max Avg Displacements'!$A$3:$L$27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5">
    <font>
      <name val="Calibri"/>
      <family val="2"/>
      <color theme="1"/>
      <sz val="11"/>
      <scheme val="minor"/>
    </font>
    <font>
      <name val="Segoe UI"/>
      <b val="1"/>
      <color rgb="001E3A6F"/>
      <sz val="14"/>
    </font>
    <font>
      <name val="Segoe UI"/>
      <b val="1"/>
      <sz val="10"/>
    </font>
    <font>
      <name val="Segoe UI"/>
      <b val="1"/>
      <color rgb="00FFFFFF"/>
      <sz val="11"/>
    </font>
    <font>
      <name val="Segoe UI"/>
      <i val="1"/>
      <color rgb="00555555"/>
      <sz val="9"/>
    </font>
  </fonts>
  <fills count="7">
    <fill>
      <patternFill/>
    </fill>
    <fill>
      <patternFill patternType="gray125"/>
    </fill>
    <fill>
      <patternFill patternType="solid">
        <fgColor rgb="00F0F4F8"/>
        <bgColor rgb="00F0F4F8"/>
      </patternFill>
    </fill>
    <fill>
      <patternFill patternType="solid">
        <fgColor rgb="001E3A6F"/>
        <bgColor rgb="001E3A6F"/>
      </patternFill>
    </fill>
    <fill>
      <patternFill patternType="solid">
        <fgColor rgb="00E6F0FA"/>
        <bgColor rgb="00E6F0FA"/>
      </patternFill>
    </fill>
    <fill>
      <patternFill patternType="solid">
        <fgColor rgb="00FFFFFF"/>
        <bgColor rgb="00FFFFFF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4" fontId="0" fillId="5" borderId="1" pivotButton="0" quotePrefix="0" xfId="0"/>
    <xf numFmtId="164" fontId="0" fillId="5" borderId="1" applyAlignment="1" pivotButton="0" quotePrefix="0" xfId="0">
      <alignment horizontal="center" vertical="center"/>
    </xf>
    <xf numFmtId="2" fontId="0" fillId="5" borderId="1" applyAlignment="1" pivotButton="0" quotePrefix="0" xfId="0">
      <alignment horizontal="center" vertical="center"/>
    </xf>
    <xf numFmtId="165" fontId="0" fillId="5" borderId="1" pivotButton="0" quotePrefix="0" xfId="0"/>
    <xf numFmtId="0" fontId="0" fillId="6" borderId="1" applyAlignment="1" pivotButton="0" quotePrefix="0" xfId="0">
      <alignment horizontal="center" vertical="center"/>
    </xf>
    <xf numFmtId="164" fontId="0" fillId="6" borderId="1" pivotButton="0" quotePrefix="0" xfId="0"/>
    <xf numFmtId="164" fontId="0" fillId="6" borderId="1" applyAlignment="1" pivotButton="0" quotePrefix="0" xfId="0">
      <alignment horizontal="center" vertical="center"/>
    </xf>
    <xf numFmtId="2" fontId="0" fillId="6" borderId="1" applyAlignment="1" pivotButton="0" quotePrefix="0" xfId="0">
      <alignment horizontal="center" vertical="center"/>
    </xf>
    <xf numFmtId="165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System</author>
  </authors>
  <commentList>
    <comment ref="G5" authorId="0" shapeId="0">
      <text>
        <t>Formula: =(D5/(1.2*E5))^2</t>
      </text>
    </comment>
    <comment ref="H5" authorId="0" shapeId="0">
      <text>
        <t>Formula: =MAX(1,G5)</t>
      </text>
    </comment>
    <comment ref="I5" authorId="0" shapeId="0">
      <text>
        <t>Formula: =5*H5</t>
      </text>
    </comment>
    <comment ref="J5" authorId="0" shapeId="0">
      <text>
        <t>Formula: =0.01*I5*L5</t>
      </text>
    </comment>
    <comment ref="G7" authorId="0" shapeId="0">
      <text>
        <t>Formula: =(D7/(1.2*E7))^2</t>
      </text>
    </comment>
    <comment ref="H7" authorId="0" shapeId="0">
      <text>
        <t>Formula: =MAX(1,G7)</t>
      </text>
    </comment>
    <comment ref="I7" authorId="0" shapeId="0">
      <text>
        <t>Formula: =5*H7</t>
      </text>
    </comment>
    <comment ref="J7" authorId="0" shapeId="0">
      <text>
        <t>Formula: =0.01*I7*L7</t>
      </text>
    </comment>
    <comment ref="G9" authorId="0" shapeId="0">
      <text>
        <t>Formula: =(D9/(1.2*E9))^2</t>
      </text>
    </comment>
    <comment ref="H9" authorId="0" shapeId="0">
      <text>
        <t>Formula: =MAX(1,G9)</t>
      </text>
    </comment>
    <comment ref="I9" authorId="0" shapeId="0">
      <text>
        <t>Formula: =5*H9</t>
      </text>
    </comment>
    <comment ref="J9" authorId="0" shapeId="0">
      <text>
        <t>Formula: =0.01*I9*L9</t>
      </text>
    </comment>
    <comment ref="G11" authorId="0" shapeId="0">
      <text>
        <t>Formula: =(D11/(1.2*E11))^2</t>
      </text>
    </comment>
    <comment ref="H11" authorId="0" shapeId="0">
      <text>
        <t>Formula: =MAX(1,G11)</t>
      </text>
    </comment>
    <comment ref="I11" authorId="0" shapeId="0">
      <text>
        <t>Formula: =5*H11</t>
      </text>
    </comment>
    <comment ref="J11" authorId="0" shapeId="0">
      <text>
        <t>Formula: =0.01*I11*K11</t>
      </text>
    </comment>
    <comment ref="G12" authorId="0" shapeId="0">
      <text>
        <t>Formula: =(D12/(1.2*E12))^2</t>
      </text>
    </comment>
    <comment ref="H12" authorId="0" shapeId="0">
      <text>
        <t>Formula: =MAX(1,G12)</t>
      </text>
    </comment>
    <comment ref="I12" authorId="0" shapeId="0">
      <text>
        <t>Formula: =5*H12</t>
      </text>
    </comment>
    <comment ref="J12" authorId="0" shapeId="0">
      <text>
        <t>Formula: =0.01*I12*K12</t>
      </text>
    </comment>
    <comment ref="G13" authorId="0" shapeId="0">
      <text>
        <t>Formula: =(D13/(1.2*E13))^2</t>
      </text>
    </comment>
    <comment ref="H13" authorId="0" shapeId="0">
      <text>
        <t>Formula: =MAX(1,G13)</t>
      </text>
    </comment>
    <comment ref="I13" authorId="0" shapeId="0">
      <text>
        <t>Formula: =5*H13</t>
      </text>
    </comment>
    <comment ref="J13" authorId="0" shapeId="0">
      <text>
        <t>Formula: =0.01*I13*K13</t>
      </text>
    </comment>
    <comment ref="G14" authorId="0" shapeId="0">
      <text>
        <t>Formula: =(D14/(1.2*E14))^2</t>
      </text>
    </comment>
    <comment ref="H14" authorId="0" shapeId="0">
      <text>
        <t>Formula: =MAX(1,G14)</t>
      </text>
    </comment>
    <comment ref="I14" authorId="0" shapeId="0">
      <text>
        <t>Formula: =5*H14</t>
      </text>
    </comment>
    <comment ref="J14" authorId="0" shapeId="0">
      <text>
        <t>Formula: =0.01*I14*K14</t>
      </text>
    </comment>
    <comment ref="G15" authorId="0" shapeId="0">
      <text>
        <t>Formula: =(D15/(1.2*E15))^2</t>
      </text>
    </comment>
    <comment ref="H15" authorId="0" shapeId="0">
      <text>
        <t>Formula: =MAX(1,G15)</t>
      </text>
    </comment>
    <comment ref="I15" authorId="0" shapeId="0">
      <text>
        <t>Formula: =5*H15</t>
      </text>
    </comment>
    <comment ref="J15" authorId="0" shapeId="0">
      <text>
        <t>Formula: =0.01*I15*K15</t>
      </text>
    </comment>
    <comment ref="G16" authorId="0" shapeId="0">
      <text>
        <t>Formula: =(D16/(1.2*E16))^2</t>
      </text>
    </comment>
    <comment ref="H16" authorId="0" shapeId="0">
      <text>
        <t>Formula: =MAX(1,G16)</t>
      </text>
    </comment>
    <comment ref="I16" authorId="0" shapeId="0">
      <text>
        <t>Formula: =5*H16</t>
      </text>
    </comment>
    <comment ref="J16" authorId="0" shapeId="0">
      <text>
        <t>Formula: =0.01*I16*K16</t>
      </text>
    </comment>
    <comment ref="G18" authorId="0" shapeId="0">
      <text>
        <t>Formula: =(D18/(1.2*E18))^2</t>
      </text>
    </comment>
    <comment ref="H18" authorId="0" shapeId="0">
      <text>
        <t>Formula: =MAX(1,G18)</t>
      </text>
    </comment>
    <comment ref="I18" authorId="0" shapeId="0">
      <text>
        <t>Formula: =5*H18</t>
      </text>
    </comment>
    <comment ref="J18" authorId="0" shapeId="0">
      <text>
        <t>Formula: =0.01*I18*K18</t>
      </text>
    </comment>
    <comment ref="G20" authorId="0" shapeId="0">
      <text>
        <t>Formula: =(D20/(1.2*E20))^2</t>
      </text>
    </comment>
    <comment ref="H20" authorId="0" shapeId="0">
      <text>
        <t>Formula: =MAX(1,G20)</t>
      </text>
    </comment>
    <comment ref="I20" authorId="0" shapeId="0">
      <text>
        <t>Formula: =5*H20</t>
      </text>
    </comment>
    <comment ref="J20" authorId="0" shapeId="0">
      <text>
        <t>Formula: =0.01*I20*K20</t>
      </text>
    </comment>
    <comment ref="G21" authorId="0" shapeId="0">
      <text>
        <t>Formula: =(D21/(1.2*E21))^2</t>
      </text>
    </comment>
    <comment ref="H21" authorId="0" shapeId="0">
      <text>
        <t>Formula: =MAX(1,G21)</t>
      </text>
    </comment>
    <comment ref="I21" authorId="0" shapeId="0">
      <text>
        <t>Formula: =5*H21</t>
      </text>
    </comment>
    <comment ref="J21" authorId="0" shapeId="0">
      <text>
        <t>Formula: =0.01*I21*K21</t>
      </text>
    </comment>
    <comment ref="G22" authorId="0" shapeId="0">
      <text>
        <t>Formula: =(D22/(1.2*E22))^2</t>
      </text>
    </comment>
    <comment ref="H22" authorId="0" shapeId="0">
      <text>
        <t>Formula: =MAX(1,G22)</t>
      </text>
    </comment>
    <comment ref="I22" authorId="0" shapeId="0">
      <text>
        <t>Formula: =5*H22</t>
      </text>
    </comment>
    <comment ref="J22" authorId="0" shapeId="0">
      <text>
        <t>Formula: =0.01*I22*K22</t>
      </text>
    </comment>
    <comment ref="G23" authorId="0" shapeId="0">
      <text>
        <t>Formula: =(D23/(1.2*E23))^2</t>
      </text>
    </comment>
    <comment ref="H23" authorId="0" shapeId="0">
      <text>
        <t>Formula: =MAX(1,G23)</t>
      </text>
    </comment>
    <comment ref="I23" authorId="0" shapeId="0">
      <text>
        <t>Formula: =5*H23</t>
      </text>
    </comment>
    <comment ref="J23" authorId="0" shapeId="0">
      <text>
        <t>Formula: =0.01*I23*K23</t>
      </text>
    </comment>
    <comment ref="G24" authorId="0" shapeId="0">
      <text>
        <t>Formula: =(D24/(1.2*E24))^2</t>
      </text>
    </comment>
    <comment ref="H24" authorId="0" shapeId="0">
      <text>
        <t>Formula: =MAX(1,G24)</t>
      </text>
    </comment>
    <comment ref="I24" authorId="0" shapeId="0">
      <text>
        <t>Formula: =5*H24</t>
      </text>
    </comment>
    <comment ref="J24" authorId="0" shapeId="0">
      <text>
        <t>Formula: =0.01*I24*K24</t>
      </text>
    </comment>
    <comment ref="G25" authorId="0" shapeId="0">
      <text>
        <t>Formula: =(D25/(1.2*E25))^2</t>
      </text>
    </comment>
    <comment ref="H25" authorId="0" shapeId="0">
      <text>
        <t>Formula: =MAX(1,G25)</t>
      </text>
    </comment>
    <comment ref="I25" authorId="0" shapeId="0">
      <text>
        <t>Formula: =5*H25</t>
      </text>
    </comment>
    <comment ref="J25" authorId="0" shapeId="0">
      <text>
        <t>Formula: =0.01*I25*K25</t>
      </text>
    </comment>
    <comment ref="G26" authorId="0" shapeId="0">
      <text>
        <t>Formula: =(D26/(1.2*E26))^2</t>
      </text>
    </comment>
    <comment ref="H26" authorId="0" shapeId="0">
      <text>
        <t>Formula: =MAX(1,G26)</t>
      </text>
    </comment>
    <comment ref="I26" authorId="0" shapeId="0">
      <text>
        <t>Formula: =5*H26</t>
      </text>
    </comment>
    <comment ref="J26" authorId="0" shapeId="0">
      <text>
        <t>Formula: =0.01*I26*K26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12" customWidth="1" min="4" max="4"/>
    <col width="12" customWidth="1" min="5" max="5"/>
    <col width="10" customWidth="1" min="6" max="6"/>
    <col width="14" customWidth="1" min="7" max="7"/>
    <col width="14" customWidth="1" min="8" max="8"/>
    <col width="18" customWidth="1" min="9" max="9"/>
    <col width="20" customWidth="1" min="10" max="10"/>
    <col width="10" customWidth="1" min="11" max="11"/>
    <col width="10" customWidth="1" min="12" max="12"/>
  </cols>
  <sheetData>
    <row r="1">
      <c r="A1" s="1" t="inlineStr">
        <is>
          <t>TABLE: Story Max Over Avg Displacements</t>
        </is>
      </c>
    </row>
    <row r="2">
      <c r="K2" s="2" t="inlineStr">
        <is>
          <t>Dy</t>
        </is>
      </c>
      <c r="L2" s="2" t="inlineStr">
        <is>
          <t>Dx</t>
        </is>
      </c>
    </row>
    <row r="3">
      <c r="A3" s="3" t="inlineStr">
        <is>
          <t>Story</t>
        </is>
      </c>
      <c r="B3" s="3" t="inlineStr">
        <is>
          <t>Output Case</t>
        </is>
      </c>
      <c r="C3" s="3" t="inlineStr">
        <is>
          <t>Direction</t>
        </is>
      </c>
      <c r="D3" s="3" t="inlineStr">
        <is>
          <t>Maximum</t>
        </is>
      </c>
      <c r="E3" s="3" t="inlineStr">
        <is>
          <t>Average</t>
        </is>
      </c>
      <c r="F3" s="3" t="inlineStr">
        <is>
          <t>Ratio</t>
        </is>
      </c>
      <c r="G3" s="3" t="inlineStr">
        <is>
          <t>Ax</t>
        </is>
      </c>
      <c r="H3" s="3" t="inlineStr">
        <is>
          <t>Ax used</t>
        </is>
      </c>
      <c r="I3" s="3" t="inlineStr">
        <is>
          <t>Amplification Ecc %</t>
        </is>
      </c>
      <c r="J3" s="3" t="inlineStr">
        <is>
          <t>Amplification Ecc (m)</t>
        </is>
      </c>
      <c r="K3" s="3" t="inlineStr"/>
      <c r="L3" s="3" t="inlineStr"/>
    </row>
    <row r="4">
      <c r="A4" s="4" t="inlineStr"/>
      <c r="B4" s="4" t="inlineStr"/>
      <c r="C4" s="4" t="inlineStr"/>
      <c r="D4" s="4" t="inlineStr">
        <is>
          <t>mm</t>
        </is>
      </c>
      <c r="E4" s="4" t="inlineStr">
        <is>
          <t>mm</t>
        </is>
      </c>
      <c r="F4" s="4" t="inlineStr"/>
      <c r="G4" s="4" t="inlineStr"/>
      <c r="H4" s="4" t="inlineStr"/>
      <c r="I4" s="4" t="inlineStr">
        <is>
          <t>%</t>
        </is>
      </c>
      <c r="J4" s="4" t="inlineStr">
        <is>
          <t>m</t>
        </is>
      </c>
      <c r="K4" s="4" t="inlineStr"/>
      <c r="L4" s="4" t="inlineStr"/>
    </row>
    <row r="5">
      <c r="A5" s="5" t="inlineStr">
        <is>
          <t>Parking</t>
        </is>
      </c>
      <c r="B5" s="5" t="inlineStr">
        <is>
          <t>EX</t>
        </is>
      </c>
      <c r="C5" s="5" t="inlineStr">
        <is>
          <t>X</t>
        </is>
      </c>
      <c r="D5" s="6" t="n">
        <v>0.537</v>
      </c>
      <c r="E5" s="6" t="n">
        <v>0.284</v>
      </c>
      <c r="F5" s="6" t="n">
        <v>1.893</v>
      </c>
      <c r="G5" s="7">
        <f>(D5/(1.2*E5))^2</f>
        <v/>
      </c>
      <c r="H5" s="7">
        <f>MAX(1,G5)</f>
        <v/>
      </c>
      <c r="I5" s="8">
        <f>5*H5</f>
        <v/>
      </c>
      <c r="J5" s="7">
        <f>0.01*I5*L5</f>
        <v/>
      </c>
      <c r="K5" s="9" t="n">
        <v>25.5</v>
      </c>
      <c r="L5" s="9" t="n">
        <v>38.3</v>
      </c>
    </row>
    <row r="7">
      <c r="A7" s="5" t="inlineStr">
        <is>
          <t>Parking</t>
        </is>
      </c>
      <c r="B7" s="5" t="inlineStr">
        <is>
          <t>EXA</t>
        </is>
      </c>
      <c r="C7" s="5" t="inlineStr">
        <is>
          <t>X</t>
        </is>
      </c>
      <c r="D7" s="6" t="n">
        <v>0.55</v>
      </c>
      <c r="E7" s="6" t="n">
        <v>0.29</v>
      </c>
      <c r="F7" s="6" t="n">
        <v>1.897</v>
      </c>
      <c r="G7" s="7">
        <f>(D7/(1.2*E7))^2</f>
        <v/>
      </c>
      <c r="H7" s="7">
        <f>MAX(1,G7)</f>
        <v/>
      </c>
      <c r="I7" s="8">
        <f>5*H7</f>
        <v/>
      </c>
      <c r="J7" s="7">
        <f>0.01*I7*L7</f>
        <v/>
      </c>
      <c r="K7" s="9" t="n">
        <v>25.5</v>
      </c>
      <c r="L7" s="9" t="n">
        <v>38.3</v>
      </c>
    </row>
    <row r="9">
      <c r="A9" s="5" t="inlineStr">
        <is>
          <t>Parking</t>
        </is>
      </c>
      <c r="B9" s="5" t="inlineStr">
        <is>
          <t>EXB</t>
        </is>
      </c>
      <c r="C9" s="5" t="inlineStr">
        <is>
          <t>X</t>
        </is>
      </c>
      <c r="D9" s="6" t="n">
        <v>0.55</v>
      </c>
      <c r="E9" s="6" t="n">
        <v>0.29</v>
      </c>
      <c r="F9" s="6" t="n">
        <v>1.896</v>
      </c>
      <c r="G9" s="7">
        <f>(D9/(1.2*E9))^2</f>
        <v/>
      </c>
      <c r="H9" s="7">
        <f>MAX(1,G9)</f>
        <v/>
      </c>
      <c r="I9" s="8">
        <f>5*H9</f>
        <v/>
      </c>
      <c r="J9" s="7">
        <f>0.01*I9*L9</f>
        <v/>
      </c>
      <c r="K9" s="9" t="n">
        <v>25.5</v>
      </c>
      <c r="L9" s="9" t="n">
        <v>38.3</v>
      </c>
    </row>
    <row r="11">
      <c r="A11" s="5" t="inlineStr">
        <is>
          <t>Roof</t>
        </is>
      </c>
      <c r="B11" s="5" t="inlineStr">
        <is>
          <t>EY</t>
        </is>
      </c>
      <c r="C11" s="5" t="inlineStr">
        <is>
          <t>Y</t>
        </is>
      </c>
      <c r="D11" s="6" t="n">
        <v>3.012</v>
      </c>
      <c r="E11" s="6" t="n">
        <v>2.251</v>
      </c>
      <c r="F11" s="6" t="n">
        <v>1.339</v>
      </c>
      <c r="G11" s="7">
        <f>(D11/(1.2*E11))^2</f>
        <v/>
      </c>
      <c r="H11" s="7">
        <f>MAX(1,G11)</f>
        <v/>
      </c>
      <c r="I11" s="8">
        <f>5*H11</f>
        <v/>
      </c>
      <c r="J11" s="7">
        <f>0.01*I11*K11</f>
        <v/>
      </c>
      <c r="K11" s="9" t="n">
        <v>17.5</v>
      </c>
      <c r="L11" s="9" t="n">
        <v>30.3</v>
      </c>
    </row>
    <row r="12">
      <c r="A12" s="10" t="inlineStr">
        <is>
          <t>Floor4</t>
        </is>
      </c>
      <c r="B12" s="10" t="inlineStr">
        <is>
          <t>EY</t>
        </is>
      </c>
      <c r="C12" s="10" t="inlineStr">
        <is>
          <t>Y</t>
        </is>
      </c>
      <c r="D12" s="11" t="n">
        <v>3.144</v>
      </c>
      <c r="E12" s="11" t="n">
        <v>2.327</v>
      </c>
      <c r="F12" s="11" t="n">
        <v>1.351</v>
      </c>
      <c r="G12" s="12">
        <f>(D12/(1.2*E12))^2</f>
        <v/>
      </c>
      <c r="H12" s="12">
        <f>MAX(1,G12)</f>
        <v/>
      </c>
      <c r="I12" s="13">
        <f>5*H12</f>
        <v/>
      </c>
      <c r="J12" s="12">
        <f>0.01*I12*K12</f>
        <v/>
      </c>
      <c r="K12" s="14" t="n">
        <v>17.5</v>
      </c>
      <c r="L12" s="14" t="n">
        <v>32.7583</v>
      </c>
    </row>
    <row r="13">
      <c r="A13" s="5" t="inlineStr">
        <is>
          <t>Floor3</t>
        </is>
      </c>
      <c r="B13" s="5" t="inlineStr">
        <is>
          <t>EY</t>
        </is>
      </c>
      <c r="C13" s="5" t="inlineStr">
        <is>
          <t>Y</t>
        </is>
      </c>
      <c r="D13" s="6" t="n">
        <v>3.088</v>
      </c>
      <c r="E13" s="6" t="n">
        <v>2.273</v>
      </c>
      <c r="F13" s="6" t="n">
        <v>1.359</v>
      </c>
      <c r="G13" s="7">
        <f>(D13/(1.2*E13))^2</f>
        <v/>
      </c>
      <c r="H13" s="7">
        <f>MAX(1,G13)</f>
        <v/>
      </c>
      <c r="I13" s="8">
        <f>5*H13</f>
        <v/>
      </c>
      <c r="J13" s="7">
        <f>0.01*I13*K13</f>
        <v/>
      </c>
      <c r="K13" s="9" t="n">
        <v>17.5</v>
      </c>
      <c r="L13" s="9" t="n">
        <v>32.7583</v>
      </c>
    </row>
    <row r="14">
      <c r="A14" s="10" t="inlineStr">
        <is>
          <t>Floor2</t>
        </is>
      </c>
      <c r="B14" s="10" t="inlineStr">
        <is>
          <t>EY</t>
        </is>
      </c>
      <c r="C14" s="10" t="inlineStr">
        <is>
          <t>Y</t>
        </is>
      </c>
      <c r="D14" s="11" t="n">
        <v>2.704</v>
      </c>
      <c r="E14" s="11" t="n">
        <v>1.98</v>
      </c>
      <c r="F14" s="11" t="n">
        <v>1.366</v>
      </c>
      <c r="G14" s="12">
        <f>(D14/(1.2*E14))^2</f>
        <v/>
      </c>
      <c r="H14" s="12">
        <f>MAX(1,G14)</f>
        <v/>
      </c>
      <c r="I14" s="13">
        <f>5*H14</f>
        <v/>
      </c>
      <c r="J14" s="12">
        <f>0.01*I14*K14</f>
        <v/>
      </c>
      <c r="K14" s="14" t="n">
        <v>17.5</v>
      </c>
      <c r="L14" s="14" t="n">
        <v>32.7583</v>
      </c>
    </row>
    <row r="15">
      <c r="A15" s="5" t="inlineStr">
        <is>
          <t>Floor1</t>
        </is>
      </c>
      <c r="B15" s="5" t="inlineStr">
        <is>
          <t>EY</t>
        </is>
      </c>
      <c r="C15" s="5" t="inlineStr">
        <is>
          <t>Y</t>
        </is>
      </c>
      <c r="D15" s="6" t="n">
        <v>1.999</v>
      </c>
      <c r="E15" s="6" t="n">
        <v>1.5</v>
      </c>
      <c r="F15" s="6" t="n">
        <v>1.332</v>
      </c>
      <c r="G15" s="7">
        <f>(D15/(1.2*E15))^2</f>
        <v/>
      </c>
      <c r="H15" s="7">
        <f>MAX(1,G15)</f>
        <v/>
      </c>
      <c r="I15" s="8">
        <f>5*H15</f>
        <v/>
      </c>
      <c r="J15" s="7">
        <f>0.01*I15*K15</f>
        <v/>
      </c>
      <c r="K15" s="9" t="n">
        <v>17.5</v>
      </c>
      <c r="L15" s="9" t="n">
        <v>32.7583</v>
      </c>
    </row>
    <row r="16">
      <c r="A16" s="10" t="inlineStr">
        <is>
          <t>Parking</t>
        </is>
      </c>
      <c r="B16" s="10" t="inlineStr">
        <is>
          <t>EY</t>
        </is>
      </c>
      <c r="C16" s="10" t="inlineStr">
        <is>
          <t>Y</t>
        </is>
      </c>
      <c r="D16" s="11" t="n">
        <v>0.453</v>
      </c>
      <c r="E16" s="11" t="n">
        <v>0.327</v>
      </c>
      <c r="F16" s="11" t="n">
        <v>1.386</v>
      </c>
      <c r="G16" s="12">
        <f>(D16/(1.2*E16))^2</f>
        <v/>
      </c>
      <c r="H16" s="12">
        <f>MAX(1,G16)</f>
        <v/>
      </c>
      <c r="I16" s="13">
        <f>5*H16</f>
        <v/>
      </c>
      <c r="J16" s="12">
        <f>0.01*I16*K16</f>
        <v/>
      </c>
      <c r="K16" s="14" t="n">
        <v>25.5</v>
      </c>
      <c r="L16" s="14" t="n">
        <v>38.3</v>
      </c>
    </row>
    <row r="18">
      <c r="A18" s="5" t="inlineStr">
        <is>
          <t>Parking</t>
        </is>
      </c>
      <c r="B18" s="5" t="inlineStr">
        <is>
          <t>EYA</t>
        </is>
      </c>
      <c r="C18" s="5" t="inlineStr">
        <is>
          <t>Y</t>
        </is>
      </c>
      <c r="D18" s="6" t="n">
        <v>0.475</v>
      </c>
      <c r="E18" s="6" t="n">
        <v>0.344</v>
      </c>
      <c r="F18" s="6" t="n">
        <v>1.378</v>
      </c>
      <c r="G18" s="7">
        <f>(D18/(1.2*E18))^2</f>
        <v/>
      </c>
      <c r="H18" s="7">
        <f>MAX(1,G18)</f>
        <v/>
      </c>
      <c r="I18" s="8">
        <f>5*H18</f>
        <v/>
      </c>
      <c r="J18" s="7">
        <f>0.01*I18*K18</f>
        <v/>
      </c>
      <c r="K18" s="9" t="n">
        <v>25.5</v>
      </c>
      <c r="L18" s="9" t="n">
        <v>38.3</v>
      </c>
    </row>
    <row r="20">
      <c r="A20" s="5" t="inlineStr">
        <is>
          <t>TopRoof</t>
        </is>
      </c>
      <c r="B20" s="5" t="inlineStr">
        <is>
          <t>EYB</t>
        </is>
      </c>
      <c r="C20" s="5" t="inlineStr">
        <is>
          <t>Y</t>
        </is>
      </c>
      <c r="D20" s="6" t="n">
        <v>2.276</v>
      </c>
      <c r="E20" s="6" t="n">
        <v>1.877</v>
      </c>
      <c r="F20" s="6" t="n">
        <v>1.213</v>
      </c>
      <c r="G20" s="7">
        <f>(D20/(1.2*E20))^2</f>
        <v/>
      </c>
      <c r="H20" s="7">
        <f>MAX(1,G20)</f>
        <v/>
      </c>
      <c r="I20" s="8">
        <f>5*H20</f>
        <v/>
      </c>
      <c r="J20" s="7">
        <f>0.01*I20*K20</f>
        <v/>
      </c>
      <c r="K20" s="9" t="n">
        <v>5.390227</v>
      </c>
      <c r="L20" s="9" t="n">
        <v>10.247121</v>
      </c>
    </row>
    <row r="21">
      <c r="A21" s="10" t="inlineStr">
        <is>
          <t>Roof</t>
        </is>
      </c>
      <c r="B21" s="10" t="inlineStr">
        <is>
          <t>EYB</t>
        </is>
      </c>
      <c r="C21" s="10" t="inlineStr">
        <is>
          <t>Y</t>
        </is>
      </c>
      <c r="D21" s="11" t="n">
        <v>3.901</v>
      </c>
      <c r="E21" s="11" t="n">
        <v>2.359</v>
      </c>
      <c r="F21" s="11" t="n">
        <v>1.654</v>
      </c>
      <c r="G21" s="12">
        <f>(D21/(1.2*E21))^2</f>
        <v/>
      </c>
      <c r="H21" s="12">
        <f>MAX(1,G21)</f>
        <v/>
      </c>
      <c r="I21" s="13">
        <f>5*H21</f>
        <v/>
      </c>
      <c r="J21" s="12">
        <f>0.01*I21*K21</f>
        <v/>
      </c>
      <c r="K21" s="14" t="n">
        <v>17.5</v>
      </c>
      <c r="L21" s="14" t="n">
        <v>30.3</v>
      </c>
    </row>
    <row r="22">
      <c r="A22" s="5" t="inlineStr">
        <is>
          <t>Floor4</t>
        </is>
      </c>
      <c r="B22" s="5" t="inlineStr">
        <is>
          <t>EYB</t>
        </is>
      </c>
      <c r="C22" s="5" t="inlineStr">
        <is>
          <t>Y</t>
        </is>
      </c>
      <c r="D22" s="6" t="n">
        <v>4.136</v>
      </c>
      <c r="E22" s="6" t="n">
        <v>2.439</v>
      </c>
      <c r="F22" s="6" t="n">
        <v>1.696</v>
      </c>
      <c r="G22" s="7">
        <f>(D22/(1.2*E22))^2</f>
        <v/>
      </c>
      <c r="H22" s="7">
        <f>MAX(1,G22)</f>
        <v/>
      </c>
      <c r="I22" s="8">
        <f>5*H22</f>
        <v/>
      </c>
      <c r="J22" s="7">
        <f>0.01*I22*K22</f>
        <v/>
      </c>
      <c r="K22" s="9" t="n">
        <v>17.5</v>
      </c>
      <c r="L22" s="9" t="n">
        <v>32.7583</v>
      </c>
    </row>
    <row r="23">
      <c r="A23" s="10" t="inlineStr">
        <is>
          <t>Floor3</t>
        </is>
      </c>
      <c r="B23" s="10" t="inlineStr">
        <is>
          <t>EYB</t>
        </is>
      </c>
      <c r="C23" s="10" t="inlineStr">
        <is>
          <t>Y</t>
        </is>
      </c>
      <c r="D23" s="11" t="n">
        <v>4.124</v>
      </c>
      <c r="E23" s="11" t="n">
        <v>2.383</v>
      </c>
      <c r="F23" s="11" t="n">
        <v>1.73</v>
      </c>
      <c r="G23" s="12">
        <f>(D23/(1.2*E23))^2</f>
        <v/>
      </c>
      <c r="H23" s="12">
        <f>MAX(1,G23)</f>
        <v/>
      </c>
      <c r="I23" s="13">
        <f>5*H23</f>
        <v/>
      </c>
      <c r="J23" s="12">
        <f>0.01*I23*K23</f>
        <v/>
      </c>
      <c r="K23" s="14" t="n">
        <v>17.5</v>
      </c>
      <c r="L23" s="14" t="n">
        <v>32.7583</v>
      </c>
    </row>
    <row r="24">
      <c r="A24" s="5" t="inlineStr">
        <is>
          <t>Floor2</t>
        </is>
      </c>
      <c r="B24" s="5" t="inlineStr">
        <is>
          <t>EYB</t>
        </is>
      </c>
      <c r="C24" s="5" t="inlineStr">
        <is>
          <t>Y</t>
        </is>
      </c>
      <c r="D24" s="6" t="n">
        <v>3.65</v>
      </c>
      <c r="E24" s="6" t="n">
        <v>2.075</v>
      </c>
      <c r="F24" s="6" t="n">
        <v>1.759</v>
      </c>
      <c r="G24" s="7">
        <f>(D24/(1.2*E24))^2</f>
        <v/>
      </c>
      <c r="H24" s="7">
        <f>MAX(1,G24)</f>
        <v/>
      </c>
      <c r="I24" s="8">
        <f>5*H24</f>
        <v/>
      </c>
      <c r="J24" s="7">
        <f>0.01*I24*K24</f>
        <v/>
      </c>
      <c r="K24" s="9" t="n">
        <v>17.5</v>
      </c>
      <c r="L24" s="9" t="n">
        <v>32.7583</v>
      </c>
    </row>
    <row r="25">
      <c r="A25" s="10" t="inlineStr">
        <is>
          <t>Floor1</t>
        </is>
      </c>
      <c r="B25" s="10" t="inlineStr">
        <is>
          <t>EYB</t>
        </is>
      </c>
      <c r="C25" s="10" t="inlineStr">
        <is>
          <t>Y</t>
        </is>
      </c>
      <c r="D25" s="11" t="n">
        <v>2.732</v>
      </c>
      <c r="E25" s="11" t="n">
        <v>1.565</v>
      </c>
      <c r="F25" s="11" t="n">
        <v>1.745</v>
      </c>
      <c r="G25" s="12">
        <f>(D25/(1.2*E25))^2</f>
        <v/>
      </c>
      <c r="H25" s="12">
        <f>MAX(1,G25)</f>
        <v/>
      </c>
      <c r="I25" s="13">
        <f>5*H25</f>
        <v/>
      </c>
      <c r="J25" s="12">
        <f>0.01*I25*K25</f>
        <v/>
      </c>
      <c r="K25" s="14" t="n">
        <v>17.5</v>
      </c>
      <c r="L25" s="14" t="n">
        <v>32.7583</v>
      </c>
    </row>
    <row r="26">
      <c r="A26" s="5" t="inlineStr">
        <is>
          <t>Parking</t>
        </is>
      </c>
      <c r="B26" s="5" t="inlineStr">
        <is>
          <t>EYB</t>
        </is>
      </c>
      <c r="C26" s="5" t="inlineStr">
        <is>
          <t>Y</t>
        </is>
      </c>
      <c r="D26" s="6" t="n">
        <v>0.512</v>
      </c>
      <c r="E26" s="6" t="n">
        <v>0.347</v>
      </c>
      <c r="F26" s="6" t="n">
        <v>1.477</v>
      </c>
      <c r="G26" s="7">
        <f>(D26/(1.2*E26))^2</f>
        <v/>
      </c>
      <c r="H26" s="7">
        <f>MAX(1,G26)</f>
        <v/>
      </c>
      <c r="I26" s="8">
        <f>5*H26</f>
        <v/>
      </c>
      <c r="J26" s="7">
        <f>0.01*I26*K26</f>
        <v/>
      </c>
      <c r="K26" s="9" t="n">
        <v>25.5</v>
      </c>
      <c r="L26" s="9" t="n">
        <v>38.3</v>
      </c>
    </row>
  </sheetData>
  <autoFilter ref="A3:L27"/>
  <mergeCells count="1">
    <mergeCell ref="A1:L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2026-10-22T12:35:48Z</dcterms:created>
  <dcterms:modified xsi:type="dcterms:W3CDTF">2026-10-22T12:35:48Z</dcterms:modified>
</cp:coreProperties>
</file>