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t Story" sheetId="1" state="visible" r:id="rId1"/>
  </sheets>
  <definedNames>
    <definedName name="_xlnm._FilterDatabase" localSheetId="0" hidden="1">'Soft Story'!$A$2:$I$94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medium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2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4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4" fontId="0" fillId="5" borderId="2" applyAlignment="1" pivotButton="0" quotePrefix="0" xfId="0">
      <alignment horizontal="center" vertical="center"/>
    </xf>
    <xf numFmtId="2" fontId="0" fillId="5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4" fontId="0" fillId="4" borderId="3" applyAlignment="1" pivotButton="0" quotePrefix="0" xfId="0">
      <alignment horizontal="center" vertical="center"/>
    </xf>
    <xf numFmtId="2" fontId="0" fillId="4" borderId="3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FCCCC"/>
          <b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25" customWidth="1" min="5" max="5"/>
    <col width="35" customWidth="1" min="6" max="6"/>
    <col width="35" customWidth="1" min="7" max="7"/>
    <col width="35" customWidth="1" min="8" max="8"/>
    <col width="25" customWidth="1" min="9" max="9"/>
  </cols>
  <sheetData>
    <row r="1">
      <c r="A1" s="1" t="inlineStr">
        <is>
          <t>TABLE: Story Stiffness - EX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story</t>
        </is>
      </c>
      <c r="B2" s="3" t="inlineStr">
        <is>
          <t>Output Case</t>
        </is>
      </c>
      <c r="C2" s="3" t="inlineStr">
        <is>
          <t>KX</t>
        </is>
      </c>
      <c r="D2" s="3" t="inlineStr">
        <is>
          <t>Ki/Ki+1</t>
        </is>
      </c>
      <c r="E2" s="3" t="inlineStr">
        <is>
          <t>(Ki+1+Ki+2+Ki+3)/3</t>
        </is>
      </c>
      <c r="F2" s="3" t="inlineStr">
        <is>
          <t>Story stiffness / average stiffness of the 3 stories above</t>
        </is>
      </c>
      <c r="G2" s="3" t="inlineStr">
        <is>
          <t>Is the soft storey included in the 80% specification?</t>
        </is>
      </c>
      <c r="H2" s="3" t="inlineStr">
        <is>
          <t>Does the story qualify as a soft story under the 70% rule?</t>
        </is>
      </c>
      <c r="I2" s="3" t="inlineStr">
        <is>
          <t>Soft Story Note</t>
        </is>
      </c>
    </row>
    <row r="3">
      <c r="A3" s="4" t="n"/>
      <c r="B3" s="4" t="n"/>
      <c r="C3" s="5" t="inlineStr">
        <is>
          <t>kN/m</t>
        </is>
      </c>
      <c r="D3" s="4" t="n"/>
      <c r="E3" s="4" t="n"/>
      <c r="F3" s="4" t="n"/>
      <c r="G3" s="4" t="n"/>
      <c r="H3" s="4" t="n"/>
      <c r="I3" s="4" t="n"/>
    </row>
    <row r="4">
      <c r="A4" s="6" t="inlineStr">
        <is>
          <t>TopRoof</t>
        </is>
      </c>
      <c r="B4" s="6" t="inlineStr">
        <is>
          <t>EX</t>
        </is>
      </c>
      <c r="C4" s="7" t="n">
        <v>55448.853</v>
      </c>
      <c r="D4" s="6" t="inlineStr">
        <is>
          <t>-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NO</t>
        </is>
      </c>
      <c r="H4" s="6" t="inlineStr">
        <is>
          <t>NO</t>
        </is>
      </c>
      <c r="I4" s="6" t="inlineStr"/>
    </row>
    <row r="5">
      <c r="A5" s="8" t="inlineStr">
        <is>
          <t>Roof</t>
        </is>
      </c>
      <c r="B5" s="8" t="inlineStr">
        <is>
          <t>EX</t>
        </is>
      </c>
      <c r="C5" s="9" t="n">
        <v>401558.182</v>
      </c>
      <c r="D5" s="10">
        <f>C5/C4</f>
        <v/>
      </c>
      <c r="E5" s="8" t="inlineStr">
        <is>
          <t>-</t>
        </is>
      </c>
      <c r="F5" s="8" t="inlineStr">
        <is>
          <t>-</t>
        </is>
      </c>
      <c r="G5" s="8" t="inlineStr">
        <is>
          <t>NO</t>
        </is>
      </c>
      <c r="H5" s="8" t="inlineStr">
        <is>
          <t>NO</t>
        </is>
      </c>
      <c r="I5" s="8" t="inlineStr"/>
    </row>
    <row r="6">
      <c r="A6" s="6" t="inlineStr">
        <is>
          <t>Floor4</t>
        </is>
      </c>
      <c r="B6" s="6" t="inlineStr">
        <is>
          <t>EX</t>
        </is>
      </c>
      <c r="C6" s="7" t="n">
        <v>766234.255</v>
      </c>
      <c r="D6" s="11">
        <f>C6/C5</f>
        <v/>
      </c>
      <c r="E6" s="6" t="inlineStr">
        <is>
          <t>-</t>
        </is>
      </c>
      <c r="F6" s="6" t="inlineStr">
        <is>
          <t>-</t>
        </is>
      </c>
      <c r="G6" s="6" t="inlineStr">
        <is>
          <t>NO</t>
        </is>
      </c>
      <c r="H6" s="6" t="inlineStr">
        <is>
          <t>NO</t>
        </is>
      </c>
      <c r="I6" s="6" t="inlineStr"/>
    </row>
    <row r="7">
      <c r="A7" s="8" t="inlineStr">
        <is>
          <t>Floor3</t>
        </is>
      </c>
      <c r="B7" s="8" t="inlineStr">
        <is>
          <t>EX</t>
        </is>
      </c>
      <c r="C7" s="9" t="n">
        <v>1122491.573</v>
      </c>
      <c r="D7" s="10">
        <f>C7/C6</f>
        <v/>
      </c>
      <c r="E7" s="9">
        <f>(C6+C5+C4)/3</f>
        <v/>
      </c>
      <c r="F7" s="10">
        <f>C7/E7</f>
        <v/>
      </c>
      <c r="G7" s="8">
        <f>IF(F7&lt;0.8,"YES","NO")</f>
        <v/>
      </c>
      <c r="H7" s="8">
        <f>IF(D7&lt;0.7,"YES","NO")</f>
        <v/>
      </c>
      <c r="I7" s="8">
        <f>IF(OR(G7="YES",H7="YES"), A7&amp;" is Soft", "")</f>
        <v/>
      </c>
    </row>
    <row r="8">
      <c r="A8" s="6" t="inlineStr">
        <is>
          <t>Floor2</t>
        </is>
      </c>
      <c r="B8" s="6" t="inlineStr">
        <is>
          <t>EX</t>
        </is>
      </c>
      <c r="C8" s="7" t="n">
        <v>1618022.541</v>
      </c>
      <c r="D8" s="11">
        <f>C8/C7</f>
        <v/>
      </c>
      <c r="E8" s="7">
        <f>(C7+C6+C5)/3</f>
        <v/>
      </c>
      <c r="F8" s="11">
        <f>C8/E8</f>
        <v/>
      </c>
      <c r="G8" s="6">
        <f>IF(F8&lt;0.8,"YES","NO")</f>
        <v/>
      </c>
      <c r="H8" s="6">
        <f>IF(D8&lt;0.7,"YES","NO")</f>
        <v/>
      </c>
      <c r="I8" s="6">
        <f>IF(OR(G8="YES",H8="YES"), A8&amp;" is Soft", "")</f>
        <v/>
      </c>
    </row>
    <row r="9">
      <c r="A9" s="8" t="inlineStr">
        <is>
          <t>Floor1</t>
        </is>
      </c>
      <c r="B9" s="8" t="inlineStr">
        <is>
          <t>EX</t>
        </is>
      </c>
      <c r="C9" s="9" t="n">
        <v>2396610.012</v>
      </c>
      <c r="D9" s="10">
        <f>C9/C8</f>
        <v/>
      </c>
      <c r="E9" s="9">
        <f>(C8+C7+C6)/3</f>
        <v/>
      </c>
      <c r="F9" s="10">
        <f>C9/E9</f>
        <v/>
      </c>
      <c r="G9" s="8">
        <f>IF(F9&lt;0.8,"YES","NO")</f>
        <v/>
      </c>
      <c r="H9" s="8">
        <f>IF(D9&lt;0.7,"YES","NO")</f>
        <v/>
      </c>
      <c r="I9" s="8">
        <f>IF(OR(G9="YES",H9="YES"), A9&amp;" is Soft", "")</f>
        <v/>
      </c>
    </row>
    <row r="10">
      <c r="A10" s="12" t="inlineStr">
        <is>
          <t>Parking</t>
        </is>
      </c>
      <c r="B10" s="12" t="inlineStr">
        <is>
          <t>EX</t>
        </is>
      </c>
      <c r="C10" s="13" t="n">
        <v>24782114.31</v>
      </c>
      <c r="D10" s="14">
        <f>C10/C9</f>
        <v/>
      </c>
      <c r="E10" s="13">
        <f>(C9+C8+C7)/3</f>
        <v/>
      </c>
      <c r="F10" s="14">
        <f>C10/E10</f>
        <v/>
      </c>
      <c r="G10" s="12">
        <f>IF(F10&lt;0.8,"YES","NO")</f>
        <v/>
      </c>
      <c r="H10" s="12">
        <f>IF(D10&lt;0.7,"YES","NO")</f>
        <v/>
      </c>
      <c r="I10" s="12">
        <f>IF(OR(G10="YES",H10="YES"), A10&amp;" is Soft", "")</f>
        <v/>
      </c>
    </row>
    <row r="13">
      <c r="A13" s="1" t="inlineStr">
        <is>
          <t>TABLE: Story Stiffness - EXA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3" t="inlineStr">
        <is>
          <t>story</t>
        </is>
      </c>
      <c r="B14" s="3" t="inlineStr">
        <is>
          <t>Output Case</t>
        </is>
      </c>
      <c r="C14" s="3" t="inlineStr">
        <is>
          <t>KX</t>
        </is>
      </c>
      <c r="D14" s="3" t="inlineStr">
        <is>
          <t>Ki/Ki+1</t>
        </is>
      </c>
      <c r="E14" s="3" t="inlineStr">
        <is>
          <t>(Ki+1+Ki+2+Ki+3)/3</t>
        </is>
      </c>
      <c r="F14" s="3" t="inlineStr">
        <is>
          <t>Story stiffness / average stiffness of the 3 stories above</t>
        </is>
      </c>
      <c r="G14" s="3" t="inlineStr">
        <is>
          <t>Is the soft storey included in the 80% specification?</t>
        </is>
      </c>
      <c r="H14" s="3" t="inlineStr">
        <is>
          <t>Does the story qualify as a soft story under the 70% rule?</t>
        </is>
      </c>
      <c r="I14" s="3" t="inlineStr">
        <is>
          <t>Soft Story Note</t>
        </is>
      </c>
    </row>
    <row r="15">
      <c r="A15" s="4" t="n"/>
      <c r="B15" s="4" t="n"/>
      <c r="C15" s="5" t="inlineStr">
        <is>
          <t>kN/m</t>
        </is>
      </c>
      <c r="D15" s="4" t="n"/>
      <c r="E15" s="4" t="n"/>
      <c r="F15" s="4" t="n"/>
      <c r="G15" s="4" t="n"/>
      <c r="H15" s="4" t="n"/>
      <c r="I15" s="4" t="n"/>
    </row>
    <row r="16">
      <c r="A16" s="6" t="inlineStr">
        <is>
          <t>TopRoof</t>
        </is>
      </c>
      <c r="B16" s="6" t="inlineStr">
        <is>
          <t>EXA</t>
        </is>
      </c>
      <c r="C16" s="7" t="n">
        <v>55401.45</v>
      </c>
      <c r="D16" s="6" t="inlineStr">
        <is>
          <t>-</t>
        </is>
      </c>
      <c r="E16" s="6" t="inlineStr">
        <is>
          <t>-</t>
        </is>
      </c>
      <c r="F16" s="6" t="inlineStr">
        <is>
          <t>-</t>
        </is>
      </c>
      <c r="G16" s="6" t="inlineStr">
        <is>
          <t>NO</t>
        </is>
      </c>
      <c r="H16" s="6" t="inlineStr">
        <is>
          <t>NO</t>
        </is>
      </c>
      <c r="I16" s="6" t="inlineStr"/>
    </row>
    <row r="17">
      <c r="A17" s="8" t="inlineStr">
        <is>
          <t>Roof</t>
        </is>
      </c>
      <c r="B17" s="8" t="inlineStr">
        <is>
          <t>EXA</t>
        </is>
      </c>
      <c r="C17" s="9" t="n">
        <v>402802.96</v>
      </c>
      <c r="D17" s="10">
        <f>C17/C16</f>
        <v/>
      </c>
      <c r="E17" s="8" t="inlineStr">
        <is>
          <t>-</t>
        </is>
      </c>
      <c r="F17" s="8" t="inlineStr">
        <is>
          <t>-</t>
        </is>
      </c>
      <c r="G17" s="8" t="inlineStr">
        <is>
          <t>NO</t>
        </is>
      </c>
      <c r="H17" s="8" t="inlineStr">
        <is>
          <t>NO</t>
        </is>
      </c>
      <c r="I17" s="8" t="inlineStr"/>
    </row>
    <row r="18">
      <c r="A18" s="6" t="inlineStr">
        <is>
          <t>Floor4</t>
        </is>
      </c>
      <c r="B18" s="6" t="inlineStr">
        <is>
          <t>EXA</t>
        </is>
      </c>
      <c r="C18" s="7" t="n">
        <v>767857.258</v>
      </c>
      <c r="D18" s="11">
        <f>C18/C17</f>
        <v/>
      </c>
      <c r="E18" s="6" t="inlineStr">
        <is>
          <t>-</t>
        </is>
      </c>
      <c r="F18" s="6" t="inlineStr">
        <is>
          <t>-</t>
        </is>
      </c>
      <c r="G18" s="6" t="inlineStr">
        <is>
          <t>NO</t>
        </is>
      </c>
      <c r="H18" s="6" t="inlineStr">
        <is>
          <t>NO</t>
        </is>
      </c>
      <c r="I18" s="6" t="inlineStr"/>
    </row>
    <row r="19">
      <c r="A19" s="8" t="inlineStr">
        <is>
          <t>Floor3</t>
        </is>
      </c>
      <c r="B19" s="8" t="inlineStr">
        <is>
          <t>EXA</t>
        </is>
      </c>
      <c r="C19" s="9" t="n">
        <v>1122415.624</v>
      </c>
      <c r="D19" s="10">
        <f>C19/C18</f>
        <v/>
      </c>
      <c r="E19" s="9">
        <f>(C18+C17+C16)/3</f>
        <v/>
      </c>
      <c r="F19" s="10">
        <f>C19/E19</f>
        <v/>
      </c>
      <c r="G19" s="8">
        <f>IF(F19&lt;0.8,"YES","NO")</f>
        <v/>
      </c>
      <c r="H19" s="8">
        <f>IF(D19&lt;0.7,"YES","NO")</f>
        <v/>
      </c>
      <c r="I19" s="8">
        <f>IF(OR(G19="YES",H19="YES"), A19&amp;" is Soft", "")</f>
        <v/>
      </c>
    </row>
    <row r="20">
      <c r="A20" s="6" t="inlineStr">
        <is>
          <t>Floor2</t>
        </is>
      </c>
      <c r="B20" s="6" t="inlineStr">
        <is>
          <t>EXA</t>
        </is>
      </c>
      <c r="C20" s="7" t="n">
        <v>1618693.782</v>
      </c>
      <c r="D20" s="11">
        <f>C20/C19</f>
        <v/>
      </c>
      <c r="E20" s="7">
        <f>(C19+C18+C17)/3</f>
        <v/>
      </c>
      <c r="F20" s="11">
        <f>C20/E20</f>
        <v/>
      </c>
      <c r="G20" s="6">
        <f>IF(F20&lt;0.8,"YES","NO")</f>
        <v/>
      </c>
      <c r="H20" s="6">
        <f>IF(D20&lt;0.7,"YES","NO")</f>
        <v/>
      </c>
      <c r="I20" s="6">
        <f>IF(OR(G20="YES",H20="YES"), A20&amp;" is Soft", "")</f>
        <v/>
      </c>
    </row>
    <row r="21">
      <c r="A21" s="8" t="inlineStr">
        <is>
          <t>Floor1</t>
        </is>
      </c>
      <c r="B21" s="8" t="inlineStr">
        <is>
          <t>EXA</t>
        </is>
      </c>
      <c r="C21" s="9" t="n">
        <v>2403363.372</v>
      </c>
      <c r="D21" s="10">
        <f>C21/C20</f>
        <v/>
      </c>
      <c r="E21" s="9">
        <f>(C20+C19+C18)/3</f>
        <v/>
      </c>
      <c r="F21" s="10">
        <f>C21/E21</f>
        <v/>
      </c>
      <c r="G21" s="8">
        <f>IF(F21&lt;0.8,"YES","NO")</f>
        <v/>
      </c>
      <c r="H21" s="8">
        <f>IF(D21&lt;0.7,"YES","NO")</f>
        <v/>
      </c>
      <c r="I21" s="8">
        <f>IF(OR(G21="YES",H21="YES"), A21&amp;" is Soft", "")</f>
        <v/>
      </c>
    </row>
    <row r="22">
      <c r="A22" s="12" t="inlineStr">
        <is>
          <t>Parking</t>
        </is>
      </c>
      <c r="B22" s="12" t="inlineStr">
        <is>
          <t>EXA</t>
        </is>
      </c>
      <c r="C22" s="13" t="n">
        <v>24232680.611</v>
      </c>
      <c r="D22" s="14">
        <f>C22/C21</f>
        <v/>
      </c>
      <c r="E22" s="13">
        <f>(C21+C20+C19)/3</f>
        <v/>
      </c>
      <c r="F22" s="14">
        <f>C22/E22</f>
        <v/>
      </c>
      <c r="G22" s="12">
        <f>IF(F22&lt;0.8,"YES","NO")</f>
        <v/>
      </c>
      <c r="H22" s="12">
        <f>IF(D22&lt;0.7,"YES","NO")</f>
        <v/>
      </c>
      <c r="I22" s="12">
        <f>IF(OR(G22="YES",H22="YES"), A22&amp;" is Soft", "")</f>
        <v/>
      </c>
    </row>
    <row r="25">
      <c r="A25" s="1" t="inlineStr">
        <is>
          <t>TABLE: Story Stiffness - EXB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3" t="inlineStr">
        <is>
          <t>story</t>
        </is>
      </c>
      <c r="B26" s="3" t="inlineStr">
        <is>
          <t>Output Case</t>
        </is>
      </c>
      <c r="C26" s="3" t="inlineStr">
        <is>
          <t>KX</t>
        </is>
      </c>
      <c r="D26" s="3" t="inlineStr">
        <is>
          <t>Ki/Ki+1</t>
        </is>
      </c>
      <c r="E26" s="3" t="inlineStr">
        <is>
          <t>(Ki+1+Ki+2+Ki+3)/3</t>
        </is>
      </c>
      <c r="F26" s="3" t="inlineStr">
        <is>
          <t>Story stiffness / average stiffness of the 3 stories above</t>
        </is>
      </c>
      <c r="G26" s="3" t="inlineStr">
        <is>
          <t>Is the soft storey included in the 80% specification?</t>
        </is>
      </c>
      <c r="H26" s="3" t="inlineStr">
        <is>
          <t>Does the story qualify as a soft story under the 70% rule?</t>
        </is>
      </c>
      <c r="I26" s="3" t="inlineStr">
        <is>
          <t>Soft Story Note</t>
        </is>
      </c>
    </row>
    <row r="27">
      <c r="A27" s="4" t="n"/>
      <c r="B27" s="4" t="n"/>
      <c r="C27" s="5" t="inlineStr">
        <is>
          <t>kN/m</t>
        </is>
      </c>
      <c r="D27" s="4" t="n"/>
      <c r="E27" s="4" t="n"/>
      <c r="F27" s="4" t="n"/>
      <c r="G27" s="4" t="n"/>
      <c r="H27" s="4" t="n"/>
      <c r="I27" s="4" t="n"/>
    </row>
    <row r="28">
      <c r="A28" s="6" t="inlineStr">
        <is>
          <t>TopRoof</t>
        </is>
      </c>
      <c r="B28" s="6" t="inlineStr">
        <is>
          <t>EXB</t>
        </is>
      </c>
      <c r="C28" s="7" t="n">
        <v>55225.489</v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NO</t>
        </is>
      </c>
      <c r="H28" s="6" t="inlineStr">
        <is>
          <t>NO</t>
        </is>
      </c>
      <c r="I28" s="6" t="inlineStr"/>
    </row>
    <row r="29">
      <c r="A29" s="8" t="inlineStr">
        <is>
          <t>Roof</t>
        </is>
      </c>
      <c r="B29" s="8" t="inlineStr">
        <is>
          <t>EXB</t>
        </is>
      </c>
      <c r="C29" s="9" t="n">
        <v>405161.613</v>
      </c>
      <c r="D29" s="10">
        <f>C29/C28</f>
        <v/>
      </c>
      <c r="E29" s="8" t="inlineStr">
        <is>
          <t>-</t>
        </is>
      </c>
      <c r="F29" s="8" t="inlineStr">
        <is>
          <t>-</t>
        </is>
      </c>
      <c r="G29" s="8" t="inlineStr">
        <is>
          <t>NO</t>
        </is>
      </c>
      <c r="H29" s="8" t="inlineStr">
        <is>
          <t>NO</t>
        </is>
      </c>
      <c r="I29" s="8" t="inlineStr"/>
    </row>
    <row r="30">
      <c r="A30" s="6" t="inlineStr">
        <is>
          <t>Floor4</t>
        </is>
      </c>
      <c r="B30" s="6" t="inlineStr">
        <is>
          <t>EXB</t>
        </is>
      </c>
      <c r="C30" s="7" t="n">
        <v>764618.098</v>
      </c>
      <c r="D30" s="11">
        <f>C30/C29</f>
        <v/>
      </c>
      <c r="E30" s="6" t="inlineStr">
        <is>
          <t>-</t>
        </is>
      </c>
      <c r="F30" s="6" t="inlineStr">
        <is>
          <t>-</t>
        </is>
      </c>
      <c r="G30" s="6" t="inlineStr">
        <is>
          <t>NO</t>
        </is>
      </c>
      <c r="H30" s="6" t="inlineStr">
        <is>
          <t>NO</t>
        </is>
      </c>
      <c r="I30" s="6" t="inlineStr"/>
    </row>
    <row r="31">
      <c r="A31" s="8" t="inlineStr">
        <is>
          <t>Floor3</t>
        </is>
      </c>
      <c r="B31" s="8" t="inlineStr">
        <is>
          <t>EXB</t>
        </is>
      </c>
      <c r="C31" s="9" t="n">
        <v>1102794.094</v>
      </c>
      <c r="D31" s="10">
        <f>C31/C30</f>
        <v/>
      </c>
      <c r="E31" s="9">
        <f>(C30+C29+C28)/3</f>
        <v/>
      </c>
      <c r="F31" s="10">
        <f>C31/E31</f>
        <v/>
      </c>
      <c r="G31" s="8">
        <f>IF(F31&lt;0.8,"YES","NO")</f>
        <v/>
      </c>
      <c r="H31" s="8">
        <f>IF(D31&lt;0.7,"YES","NO")</f>
        <v/>
      </c>
      <c r="I31" s="8">
        <f>IF(OR(G31="YES",H31="YES"), A31&amp;" is Soft", "")</f>
        <v/>
      </c>
    </row>
    <row r="32">
      <c r="A32" s="6" t="inlineStr">
        <is>
          <t>Floor2</t>
        </is>
      </c>
      <c r="B32" s="6" t="inlineStr">
        <is>
          <t>EXB</t>
        </is>
      </c>
      <c r="C32" s="7" t="n">
        <v>1586638.322</v>
      </c>
      <c r="D32" s="11">
        <f>C32/C31</f>
        <v/>
      </c>
      <c r="E32" s="7">
        <f>(C31+C30+C29)/3</f>
        <v/>
      </c>
      <c r="F32" s="11">
        <f>C32/E32</f>
        <v/>
      </c>
      <c r="G32" s="6">
        <f>IF(F32&lt;0.8,"YES","NO")</f>
        <v/>
      </c>
      <c r="H32" s="6">
        <f>IF(D32&lt;0.7,"YES","NO")</f>
        <v/>
      </c>
      <c r="I32" s="6">
        <f>IF(OR(G32="YES",H32="YES"), A32&amp;" is Soft", "")</f>
        <v/>
      </c>
    </row>
    <row r="33">
      <c r="A33" s="8" t="inlineStr">
        <is>
          <t>Floor1</t>
        </is>
      </c>
      <c r="B33" s="8" t="inlineStr">
        <is>
          <t>EXB</t>
        </is>
      </c>
      <c r="C33" s="9" t="n">
        <v>2389894.5</v>
      </c>
      <c r="D33" s="10">
        <f>C33/C32</f>
        <v/>
      </c>
      <c r="E33" s="9">
        <f>(C32+C31+C30)/3</f>
        <v/>
      </c>
      <c r="F33" s="10">
        <f>C33/E33</f>
        <v/>
      </c>
      <c r="G33" s="8">
        <f>IF(F33&lt;0.8,"YES","NO")</f>
        <v/>
      </c>
      <c r="H33" s="8">
        <f>IF(D33&lt;0.7,"YES","NO")</f>
        <v/>
      </c>
      <c r="I33" s="8">
        <f>IF(OR(G33="YES",H33="YES"), A33&amp;" is Soft", "")</f>
        <v/>
      </c>
    </row>
    <row r="34">
      <c r="A34" s="12" t="inlineStr">
        <is>
          <t>Parking</t>
        </is>
      </c>
      <c r="B34" s="12" t="inlineStr">
        <is>
          <t>EXB</t>
        </is>
      </c>
      <c r="C34" s="13" t="n">
        <v>24218293.831</v>
      </c>
      <c r="D34" s="14">
        <f>C34/C33</f>
        <v/>
      </c>
      <c r="E34" s="13">
        <f>(C33+C32+C31)/3</f>
        <v/>
      </c>
      <c r="F34" s="14">
        <f>C34/E34</f>
        <v/>
      </c>
      <c r="G34" s="12">
        <f>IF(F34&lt;0.8,"YES","NO")</f>
        <v/>
      </c>
      <c r="H34" s="12">
        <f>IF(D34&lt;0.7,"YES","NO")</f>
        <v/>
      </c>
      <c r="I34" s="12">
        <f>IF(OR(G34="YES",H34="YES"), A34&amp;" is Soft", "")</f>
        <v/>
      </c>
    </row>
    <row r="37">
      <c r="A37" s="1" t="inlineStr">
        <is>
          <t>TABLE: Story Stiffness - EY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3" t="inlineStr">
        <is>
          <t>story</t>
        </is>
      </c>
      <c r="B38" s="3" t="inlineStr">
        <is>
          <t>Output Case</t>
        </is>
      </c>
      <c r="C38" s="3" t="inlineStr">
        <is>
          <t>KY</t>
        </is>
      </c>
      <c r="D38" s="3" t="inlineStr">
        <is>
          <t>Ki/Ki+1</t>
        </is>
      </c>
      <c r="E38" s="3" t="inlineStr">
        <is>
          <t>(Ki+1+Ki+2+Ki+3)/3</t>
        </is>
      </c>
      <c r="F38" s="3" t="inlineStr">
        <is>
          <t>Story stiffness / average stiffness of the 3 stories above</t>
        </is>
      </c>
      <c r="G38" s="3" t="inlineStr">
        <is>
          <t>Is the soft storey included in the 80% specification?</t>
        </is>
      </c>
      <c r="H38" s="3" t="inlineStr">
        <is>
          <t>Does the story qualify as a soft story under the 70% rule?</t>
        </is>
      </c>
      <c r="I38" s="3" t="inlineStr">
        <is>
          <t>Soft Story Note</t>
        </is>
      </c>
    </row>
    <row r="39">
      <c r="A39" s="4" t="n"/>
      <c r="B39" s="4" t="n"/>
      <c r="C39" s="5" t="inlineStr">
        <is>
          <t>kN/m</t>
        </is>
      </c>
      <c r="D39" s="4" t="n"/>
      <c r="E39" s="4" t="n"/>
      <c r="F39" s="4" t="n"/>
      <c r="G39" s="4" t="n"/>
      <c r="H39" s="4" t="n"/>
      <c r="I39" s="4" t="n"/>
    </row>
    <row r="40">
      <c r="A40" s="6" t="inlineStr">
        <is>
          <t>TopRoof</t>
        </is>
      </c>
      <c r="B40" s="6" t="inlineStr">
        <is>
          <t>EY</t>
        </is>
      </c>
      <c r="C40" s="7" t="n">
        <v>111408.693</v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NO</t>
        </is>
      </c>
      <c r="H40" s="6" t="inlineStr">
        <is>
          <t>NO</t>
        </is>
      </c>
      <c r="I40" s="6" t="inlineStr"/>
    </row>
    <row r="41">
      <c r="A41" s="8" t="inlineStr">
        <is>
          <t>Roof</t>
        </is>
      </c>
      <c r="B41" s="8" t="inlineStr">
        <is>
          <t>EY</t>
        </is>
      </c>
      <c r="C41" s="9" t="n">
        <v>806387.861</v>
      </c>
      <c r="D41" s="10">
        <f>C41/C40</f>
        <v/>
      </c>
      <c r="E41" s="8" t="inlineStr">
        <is>
          <t>-</t>
        </is>
      </c>
      <c r="F41" s="8" t="inlineStr">
        <is>
          <t>-</t>
        </is>
      </c>
      <c r="G41" s="8" t="inlineStr">
        <is>
          <t>NO</t>
        </is>
      </c>
      <c r="H41" s="8" t="inlineStr">
        <is>
          <t>NO</t>
        </is>
      </c>
      <c r="I41" s="8" t="inlineStr"/>
    </row>
    <row r="42">
      <c r="A42" s="6" t="inlineStr">
        <is>
          <t>Floor4</t>
        </is>
      </c>
      <c r="B42" s="6" t="inlineStr">
        <is>
          <t>EY</t>
        </is>
      </c>
      <c r="C42" s="7" t="n">
        <v>1459768.206</v>
      </c>
      <c r="D42" s="11">
        <f>C42/C41</f>
        <v/>
      </c>
      <c r="E42" s="6" t="inlineStr">
        <is>
          <t>-</t>
        </is>
      </c>
      <c r="F42" s="6" t="inlineStr">
        <is>
          <t>-</t>
        </is>
      </c>
      <c r="G42" s="6" t="inlineStr">
        <is>
          <t>NO</t>
        </is>
      </c>
      <c r="H42" s="6" t="inlineStr">
        <is>
          <t>NO</t>
        </is>
      </c>
      <c r="I42" s="6" t="inlineStr"/>
    </row>
    <row r="43">
      <c r="A43" s="8" t="inlineStr">
        <is>
          <t>Floor3</t>
        </is>
      </c>
      <c r="B43" s="8" t="inlineStr">
        <is>
          <t>EY</t>
        </is>
      </c>
      <c r="C43" s="9" t="n">
        <v>2071096.394</v>
      </c>
      <c r="D43" s="10">
        <f>C43/C42</f>
        <v/>
      </c>
      <c r="E43" s="9">
        <f>(C42+C41+C40)/3</f>
        <v/>
      </c>
      <c r="F43" s="10">
        <f>C43/E43</f>
        <v/>
      </c>
      <c r="G43" s="8">
        <f>IF(F43&lt;0.8,"YES","NO")</f>
        <v/>
      </c>
      <c r="H43" s="8">
        <f>IF(D43&lt;0.7,"YES","NO")</f>
        <v/>
      </c>
      <c r="I43" s="8">
        <f>IF(OR(G43="YES",H43="YES"), A43&amp;" is Soft", "")</f>
        <v/>
      </c>
    </row>
    <row r="44">
      <c r="A44" s="6" t="inlineStr">
        <is>
          <t>Floor2</t>
        </is>
      </c>
      <c r="B44" s="6" t="inlineStr">
        <is>
          <t>EY</t>
        </is>
      </c>
      <c r="C44" s="7" t="n">
        <v>2876236.348</v>
      </c>
      <c r="D44" s="11">
        <f>C44/C43</f>
        <v/>
      </c>
      <c r="E44" s="7">
        <f>(C43+C42+C41)/3</f>
        <v/>
      </c>
      <c r="F44" s="11">
        <f>C44/E44</f>
        <v/>
      </c>
      <c r="G44" s="6">
        <f>IF(F44&lt;0.8,"YES","NO")</f>
        <v/>
      </c>
      <c r="H44" s="6">
        <f>IF(D44&lt;0.7,"YES","NO")</f>
        <v/>
      </c>
      <c r="I44" s="6">
        <f>IF(OR(G44="YES",H44="YES"), A44&amp;" is Soft", "")</f>
        <v/>
      </c>
    </row>
    <row r="45">
      <c r="A45" s="8" t="inlineStr">
        <is>
          <t>Floor1</t>
        </is>
      </c>
      <c r="B45" s="8" t="inlineStr">
        <is>
          <t>EY</t>
        </is>
      </c>
      <c r="C45" s="9" t="n">
        <v>4360938.811</v>
      </c>
      <c r="D45" s="10">
        <f>C45/C44</f>
        <v/>
      </c>
      <c r="E45" s="9">
        <f>(C44+C43+C42)/3</f>
        <v/>
      </c>
      <c r="F45" s="10">
        <f>C45/E45</f>
        <v/>
      </c>
      <c r="G45" s="8">
        <f>IF(F45&lt;0.8,"YES","NO")</f>
        <v/>
      </c>
      <c r="H45" s="8">
        <f>IF(D45&lt;0.7,"YES","NO")</f>
        <v/>
      </c>
      <c r="I45" s="8">
        <f>IF(OR(G45="YES",H45="YES"), A45&amp;" is Soft", "")</f>
        <v/>
      </c>
    </row>
    <row r="46">
      <c r="A46" s="12" t="inlineStr">
        <is>
          <t>Parking</t>
        </is>
      </c>
      <c r="B46" s="12" t="inlineStr">
        <is>
          <t>EY</t>
        </is>
      </c>
      <c r="C46" s="13" t="n">
        <v>21637523.213</v>
      </c>
      <c r="D46" s="14">
        <f>C46/C45</f>
        <v/>
      </c>
      <c r="E46" s="13">
        <f>(C45+C44+C43)/3</f>
        <v/>
      </c>
      <c r="F46" s="14">
        <f>C46/E46</f>
        <v/>
      </c>
      <c r="G46" s="12">
        <f>IF(F46&lt;0.8,"YES","NO")</f>
        <v/>
      </c>
      <c r="H46" s="12">
        <f>IF(D46&lt;0.7,"YES","NO")</f>
        <v/>
      </c>
      <c r="I46" s="12">
        <f>IF(OR(G46="YES",H46="YES"), A46&amp;" is Soft", "")</f>
        <v/>
      </c>
    </row>
    <row r="49">
      <c r="A49" s="1" t="inlineStr">
        <is>
          <t>TABLE: Story Stiffness - EYA</t>
        </is>
      </c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3" t="inlineStr">
        <is>
          <t>story</t>
        </is>
      </c>
      <c r="B50" s="3" t="inlineStr">
        <is>
          <t>Output Case</t>
        </is>
      </c>
      <c r="C50" s="3" t="inlineStr">
        <is>
          <t>KY</t>
        </is>
      </c>
      <c r="D50" s="3" t="inlineStr">
        <is>
          <t>Ki/Ki+1</t>
        </is>
      </c>
      <c r="E50" s="3" t="inlineStr">
        <is>
          <t>(Ki+1+Ki+2+Ki+3)/3</t>
        </is>
      </c>
      <c r="F50" s="3" t="inlineStr">
        <is>
          <t>Story stiffness / average stiffness of the 3 stories above</t>
        </is>
      </c>
      <c r="G50" s="3" t="inlineStr">
        <is>
          <t>Is the soft storey included in the 80% specification?</t>
        </is>
      </c>
      <c r="H50" s="3" t="inlineStr">
        <is>
          <t>Does the story qualify as a soft story under the 70% rule?</t>
        </is>
      </c>
      <c r="I50" s="3" t="inlineStr">
        <is>
          <t>Soft Story Note</t>
        </is>
      </c>
    </row>
    <row r="51">
      <c r="A51" s="4" t="n"/>
      <c r="B51" s="4" t="n"/>
      <c r="C51" s="5" t="inlineStr">
        <is>
          <t>kN/m</t>
        </is>
      </c>
      <c r="D51" s="4" t="n"/>
      <c r="E51" s="4" t="n"/>
      <c r="F51" s="4" t="n"/>
      <c r="G51" s="4" t="n"/>
      <c r="H51" s="4" t="n"/>
      <c r="I51" s="4" t="n"/>
    </row>
    <row r="52">
      <c r="A52" s="6" t="inlineStr">
        <is>
          <t>TopRoof</t>
        </is>
      </c>
      <c r="B52" s="6" t="inlineStr">
        <is>
          <t>EYA</t>
        </is>
      </c>
      <c r="C52" s="7" t="n">
        <v>109478.878</v>
      </c>
      <c r="D52" s="6" t="inlineStr">
        <is>
          <t>-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NO</t>
        </is>
      </c>
      <c r="H52" s="6" t="inlineStr">
        <is>
          <t>NO</t>
        </is>
      </c>
      <c r="I52" s="6" t="inlineStr"/>
    </row>
    <row r="53">
      <c r="A53" s="8" t="inlineStr">
        <is>
          <t>Roof</t>
        </is>
      </c>
      <c r="B53" s="8" t="inlineStr">
        <is>
          <t>EYA</t>
        </is>
      </c>
      <c r="C53" s="9" t="n">
        <v>834471.985</v>
      </c>
      <c r="D53" s="10">
        <f>C53/C52</f>
        <v/>
      </c>
      <c r="E53" s="8" t="inlineStr">
        <is>
          <t>-</t>
        </is>
      </c>
      <c r="F53" s="8" t="inlineStr">
        <is>
          <t>-</t>
        </is>
      </c>
      <c r="G53" s="8" t="inlineStr">
        <is>
          <t>NO</t>
        </is>
      </c>
      <c r="H53" s="8" t="inlineStr">
        <is>
          <t>NO</t>
        </is>
      </c>
      <c r="I53" s="8" t="inlineStr"/>
    </row>
    <row r="54">
      <c r="A54" s="6" t="inlineStr">
        <is>
          <t>Floor4</t>
        </is>
      </c>
      <c r="B54" s="6" t="inlineStr">
        <is>
          <t>EYA</t>
        </is>
      </c>
      <c r="C54" s="7" t="n">
        <v>1542545.618</v>
      </c>
      <c r="D54" s="11">
        <f>C54/C53</f>
        <v/>
      </c>
      <c r="E54" s="6" t="inlineStr">
        <is>
          <t>-</t>
        </is>
      </c>
      <c r="F54" s="6" t="inlineStr">
        <is>
          <t>-</t>
        </is>
      </c>
      <c r="G54" s="6" t="inlineStr">
        <is>
          <t>NO</t>
        </is>
      </c>
      <c r="H54" s="6" t="inlineStr">
        <is>
          <t>NO</t>
        </is>
      </c>
      <c r="I54" s="6" t="inlineStr"/>
    </row>
    <row r="55">
      <c r="A55" s="8" t="inlineStr">
        <is>
          <t>Floor3</t>
        </is>
      </c>
      <c r="B55" s="8" t="inlineStr">
        <is>
          <t>EYA</t>
        </is>
      </c>
      <c r="C55" s="9" t="n">
        <v>2197411.902</v>
      </c>
      <c r="D55" s="10">
        <f>C55/C54</f>
        <v/>
      </c>
      <c r="E55" s="9">
        <f>(C54+C53+C52)/3</f>
        <v/>
      </c>
      <c r="F55" s="10">
        <f>C55/E55</f>
        <v/>
      </c>
      <c r="G55" s="8">
        <f>IF(F55&lt;0.8,"YES","NO")</f>
        <v/>
      </c>
      <c r="H55" s="8">
        <f>IF(D55&lt;0.7,"YES","NO")</f>
        <v/>
      </c>
      <c r="I55" s="8">
        <f>IF(OR(G55="YES",H55="YES"), A55&amp;" is Soft", "")</f>
        <v/>
      </c>
    </row>
    <row r="56">
      <c r="A56" s="6" t="inlineStr">
        <is>
          <t>Floor2</t>
        </is>
      </c>
      <c r="B56" s="6" t="inlineStr">
        <is>
          <t>EYA</t>
        </is>
      </c>
      <c r="C56" s="7" t="n">
        <v>3109724.325</v>
      </c>
      <c r="D56" s="11">
        <f>C56/C55</f>
        <v/>
      </c>
      <c r="E56" s="7">
        <f>(C55+C54+C53)/3</f>
        <v/>
      </c>
      <c r="F56" s="11">
        <f>C56/E56</f>
        <v/>
      </c>
      <c r="G56" s="6">
        <f>IF(F56&lt;0.8,"YES","NO")</f>
        <v/>
      </c>
      <c r="H56" s="6">
        <f>IF(D56&lt;0.7,"YES","NO")</f>
        <v/>
      </c>
      <c r="I56" s="6">
        <f>IF(OR(G56="YES",H56="YES"), A56&amp;" is Soft", "")</f>
        <v/>
      </c>
    </row>
    <row r="57">
      <c r="A57" s="8" t="inlineStr">
        <is>
          <t>Floor1</t>
        </is>
      </c>
      <c r="B57" s="8" t="inlineStr">
        <is>
          <t>EYA</t>
        </is>
      </c>
      <c r="C57" s="9" t="n">
        <v>4497732.317</v>
      </c>
      <c r="D57" s="10">
        <f>C57/C56</f>
        <v/>
      </c>
      <c r="E57" s="9">
        <f>(C56+C55+C54)/3</f>
        <v/>
      </c>
      <c r="F57" s="10">
        <f>C57/E57</f>
        <v/>
      </c>
      <c r="G57" s="8">
        <f>IF(F57&lt;0.8,"YES","NO")</f>
        <v/>
      </c>
      <c r="H57" s="8">
        <f>IF(D57&lt;0.7,"YES","NO")</f>
        <v/>
      </c>
      <c r="I57" s="8">
        <f>IF(OR(G57="YES",H57="YES"), A57&amp;" is Soft", "")</f>
        <v/>
      </c>
    </row>
    <row r="58">
      <c r="A58" s="12" t="inlineStr">
        <is>
          <t>Parking</t>
        </is>
      </c>
      <c r="B58" s="12" t="inlineStr">
        <is>
          <t>EYA</t>
        </is>
      </c>
      <c r="C58" s="13" t="n">
        <v>20518137.227</v>
      </c>
      <c r="D58" s="14">
        <f>C58/C57</f>
        <v/>
      </c>
      <c r="E58" s="13">
        <f>(C57+C56+C55)/3</f>
        <v/>
      </c>
      <c r="F58" s="14">
        <f>C58/E58</f>
        <v/>
      </c>
      <c r="G58" s="12">
        <f>IF(F58&lt;0.8,"YES","NO")</f>
        <v/>
      </c>
      <c r="H58" s="12">
        <f>IF(D58&lt;0.7,"YES","NO")</f>
        <v/>
      </c>
      <c r="I58" s="12">
        <f>IF(OR(G58="YES",H58="YES"), A58&amp;" is Soft", "")</f>
        <v/>
      </c>
    </row>
    <row r="61">
      <c r="A61" s="1" t="inlineStr">
        <is>
          <t>TABLE: Story Stiffness - EYB</t>
        </is>
      </c>
      <c r="B61" s="2" t="n"/>
      <c r="C61" s="2" t="n"/>
      <c r="D61" s="2" t="n"/>
      <c r="E61" s="2" t="n"/>
      <c r="F61" s="2" t="n"/>
      <c r="G61" s="2" t="n"/>
      <c r="H61" s="2" t="n"/>
      <c r="I61" s="2" t="n"/>
    </row>
    <row r="62">
      <c r="A62" s="3" t="inlineStr">
        <is>
          <t>story</t>
        </is>
      </c>
      <c r="B62" s="3" t="inlineStr">
        <is>
          <t>Output Case</t>
        </is>
      </c>
      <c r="C62" s="3" t="inlineStr">
        <is>
          <t>KY</t>
        </is>
      </c>
      <c r="D62" s="3" t="inlineStr">
        <is>
          <t>Ki/Ki+1</t>
        </is>
      </c>
      <c r="E62" s="3" t="inlineStr">
        <is>
          <t>(Ki+1+Ki+2+Ki+3)/3</t>
        </is>
      </c>
      <c r="F62" s="3" t="inlineStr">
        <is>
          <t>Story stiffness / average stiffness of the 3 stories above</t>
        </is>
      </c>
      <c r="G62" s="3" t="inlineStr">
        <is>
          <t>Is the soft storey included in the 80% specification?</t>
        </is>
      </c>
      <c r="H62" s="3" t="inlineStr">
        <is>
          <t>Does the story qualify as a soft story under the 70% rule?</t>
        </is>
      </c>
      <c r="I62" s="3" t="inlineStr">
        <is>
          <t>Soft Story Note</t>
        </is>
      </c>
    </row>
    <row r="63">
      <c r="A63" s="4" t="n"/>
      <c r="B63" s="4" t="n"/>
      <c r="C63" s="5" t="inlineStr">
        <is>
          <t>kN/m</t>
        </is>
      </c>
      <c r="D63" s="4" t="n"/>
      <c r="E63" s="4" t="n"/>
      <c r="F63" s="4" t="n"/>
      <c r="G63" s="4" t="n"/>
      <c r="H63" s="4" t="n"/>
      <c r="I63" s="4" t="n"/>
    </row>
    <row r="64">
      <c r="A64" s="6" t="inlineStr">
        <is>
          <t>TopRoof</t>
        </is>
      </c>
      <c r="B64" s="6" t="inlineStr">
        <is>
          <t>EYB</t>
        </is>
      </c>
      <c r="C64" s="7" t="n">
        <v>114281.643</v>
      </c>
      <c r="D64" s="6" t="inlineStr">
        <is>
          <t>-</t>
        </is>
      </c>
      <c r="E64" s="6" t="inlineStr">
        <is>
          <t>-</t>
        </is>
      </c>
      <c r="F64" s="6" t="inlineStr">
        <is>
          <t>-</t>
        </is>
      </c>
      <c r="G64" s="6" t="inlineStr">
        <is>
          <t>NO</t>
        </is>
      </c>
      <c r="H64" s="6" t="inlineStr">
        <is>
          <t>NO</t>
        </is>
      </c>
      <c r="I64" s="6" t="inlineStr"/>
    </row>
    <row r="65">
      <c r="A65" s="8" t="inlineStr">
        <is>
          <t>Roof</t>
        </is>
      </c>
      <c r="B65" s="8" t="inlineStr">
        <is>
          <t>EYB</t>
        </is>
      </c>
      <c r="C65" s="9" t="n">
        <v>769297.7610000001</v>
      </c>
      <c r="D65" s="10">
        <f>C65/C64</f>
        <v/>
      </c>
      <c r="E65" s="8" t="inlineStr">
        <is>
          <t>-</t>
        </is>
      </c>
      <c r="F65" s="8" t="inlineStr">
        <is>
          <t>-</t>
        </is>
      </c>
      <c r="G65" s="8" t="inlineStr">
        <is>
          <t>NO</t>
        </is>
      </c>
      <c r="H65" s="8" t="inlineStr">
        <is>
          <t>NO</t>
        </is>
      </c>
      <c r="I65" s="8" t="inlineStr"/>
    </row>
    <row r="66">
      <c r="A66" s="6" t="inlineStr">
        <is>
          <t>Floor4</t>
        </is>
      </c>
      <c r="B66" s="6" t="inlineStr">
        <is>
          <t>EYB</t>
        </is>
      </c>
      <c r="C66" s="7" t="n">
        <v>1355695.439</v>
      </c>
      <c r="D66" s="11">
        <f>C66/C65</f>
        <v/>
      </c>
      <c r="E66" s="6" t="inlineStr">
        <is>
          <t>-</t>
        </is>
      </c>
      <c r="F66" s="6" t="inlineStr">
        <is>
          <t>-</t>
        </is>
      </c>
      <c r="G66" s="6" t="inlineStr">
        <is>
          <t>NO</t>
        </is>
      </c>
      <c r="H66" s="6" t="inlineStr">
        <is>
          <t>NO</t>
        </is>
      </c>
      <c r="I66" s="6" t="inlineStr"/>
    </row>
    <row r="67">
      <c r="A67" s="8" t="inlineStr">
        <is>
          <t>Floor3</t>
        </is>
      </c>
      <c r="B67" s="8" t="inlineStr">
        <is>
          <t>EYB</t>
        </is>
      </c>
      <c r="C67" s="9" t="n">
        <v>1919327.135</v>
      </c>
      <c r="D67" s="10">
        <f>C67/C66</f>
        <v/>
      </c>
      <c r="E67" s="9">
        <f>(C66+C65+C64)/3</f>
        <v/>
      </c>
      <c r="F67" s="10">
        <f>C67/E67</f>
        <v/>
      </c>
      <c r="G67" s="8">
        <f>IF(F67&lt;0.8,"YES","NO")</f>
        <v/>
      </c>
      <c r="H67" s="8">
        <f>IF(D67&lt;0.7,"YES","NO")</f>
        <v/>
      </c>
      <c r="I67" s="8">
        <f>IF(OR(G67="YES",H67="YES"), A67&amp;" is Soft", "")</f>
        <v/>
      </c>
    </row>
    <row r="68">
      <c r="A68" s="6" t="inlineStr">
        <is>
          <t>Floor2</t>
        </is>
      </c>
      <c r="B68" s="6" t="inlineStr">
        <is>
          <t>EYB</t>
        </is>
      </c>
      <c r="C68" s="7" t="n">
        <v>2661649.526</v>
      </c>
      <c r="D68" s="11">
        <f>C68/C67</f>
        <v/>
      </c>
      <c r="E68" s="7">
        <f>(C67+C66+C65)/3</f>
        <v/>
      </c>
      <c r="F68" s="11">
        <f>C68/E68</f>
        <v/>
      </c>
      <c r="G68" s="6">
        <f>IF(F68&lt;0.8,"YES","NO")</f>
        <v/>
      </c>
      <c r="H68" s="6">
        <f>IF(D68&lt;0.7,"YES","NO")</f>
        <v/>
      </c>
      <c r="I68" s="6">
        <f>IF(OR(G68="YES",H68="YES"), A68&amp;" is Soft", "")</f>
        <v/>
      </c>
    </row>
    <row r="69">
      <c r="A69" s="8" t="inlineStr">
        <is>
          <t>Floor1</t>
        </is>
      </c>
      <c r="B69" s="8" t="inlineStr">
        <is>
          <t>EYB</t>
        </is>
      </c>
      <c r="C69" s="9" t="n">
        <v>4179642.131</v>
      </c>
      <c r="D69" s="10">
        <f>C69/C68</f>
        <v/>
      </c>
      <c r="E69" s="9">
        <f>(C68+C67+C66)/3</f>
        <v/>
      </c>
      <c r="F69" s="10">
        <f>C69/E69</f>
        <v/>
      </c>
      <c r="G69" s="8">
        <f>IF(F69&lt;0.8,"YES","NO")</f>
        <v/>
      </c>
      <c r="H69" s="8">
        <f>IF(D69&lt;0.7,"YES","NO")</f>
        <v/>
      </c>
      <c r="I69" s="8">
        <f>IF(OR(G69="YES",H69="YES"), A69&amp;" is Soft", "")</f>
        <v/>
      </c>
    </row>
    <row r="70">
      <c r="A70" s="12" t="inlineStr">
        <is>
          <t>Parking</t>
        </is>
      </c>
      <c r="B70" s="12" t="inlineStr">
        <is>
          <t>EYB</t>
        </is>
      </c>
      <c r="C70" s="13" t="n">
        <v>20368040.641</v>
      </c>
      <c r="D70" s="14">
        <f>C70/C69</f>
        <v/>
      </c>
      <c r="E70" s="13">
        <f>(C69+C68+C67)/3</f>
        <v/>
      </c>
      <c r="F70" s="14">
        <f>C70/E70</f>
        <v/>
      </c>
      <c r="G70" s="12">
        <f>IF(F70&lt;0.8,"YES","NO")</f>
        <v/>
      </c>
      <c r="H70" s="12">
        <f>IF(D70&lt;0.7,"YES","NO")</f>
        <v/>
      </c>
      <c r="I70" s="12">
        <f>IF(OR(G70="YES",H70="YES"), A70&amp;" is Soft", "")</f>
        <v/>
      </c>
    </row>
    <row r="73">
      <c r="A73" s="1" t="inlineStr">
        <is>
          <t>TABLE: Story Stiffness - RSX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</row>
    <row r="74">
      <c r="A74" s="3" t="inlineStr">
        <is>
          <t>story</t>
        </is>
      </c>
      <c r="B74" s="3" t="inlineStr">
        <is>
          <t>Output Case</t>
        </is>
      </c>
      <c r="C74" s="3" t="inlineStr">
        <is>
          <t>K?</t>
        </is>
      </c>
      <c r="D74" s="3" t="inlineStr">
        <is>
          <t>Ki/Ki+1</t>
        </is>
      </c>
      <c r="E74" s="3" t="inlineStr">
        <is>
          <t>(Ki+1+Ki+2+Ki+3)/3</t>
        </is>
      </c>
      <c r="F74" s="3" t="inlineStr">
        <is>
          <t>Story stiffness / average stiffness of the 3 stories above</t>
        </is>
      </c>
      <c r="G74" s="3" t="inlineStr">
        <is>
          <t>Is the soft storey included in the 80% specification?</t>
        </is>
      </c>
      <c r="H74" s="3" t="inlineStr">
        <is>
          <t>Does the story qualify as a soft story under the 70% rule?</t>
        </is>
      </c>
      <c r="I74" s="3" t="inlineStr">
        <is>
          <t>Soft Story Note</t>
        </is>
      </c>
    </row>
    <row r="75">
      <c r="A75" s="4" t="n"/>
      <c r="B75" s="4" t="n"/>
      <c r="C75" s="5" t="inlineStr">
        <is>
          <t>kN/m</t>
        </is>
      </c>
      <c r="D75" s="4" t="n"/>
      <c r="E75" s="4" t="n"/>
      <c r="F75" s="4" t="n"/>
      <c r="G75" s="4" t="n"/>
      <c r="H75" s="4" t="n"/>
      <c r="I75" s="4" t="n"/>
    </row>
    <row r="76">
      <c r="A76" s="6" t="inlineStr">
        <is>
          <t>TopRoof</t>
        </is>
      </c>
      <c r="B76" s="6" t="inlineStr">
        <is>
          <t>RSX</t>
        </is>
      </c>
      <c r="C76" s="7" t="n">
        <v>0</v>
      </c>
      <c r="D76" s="6" t="inlineStr">
        <is>
          <t>-</t>
        </is>
      </c>
      <c r="E76" s="6" t="inlineStr">
        <is>
          <t>-</t>
        </is>
      </c>
      <c r="F76" s="6" t="inlineStr">
        <is>
          <t>-</t>
        </is>
      </c>
      <c r="G76" s="6" t="inlineStr">
        <is>
          <t>NO</t>
        </is>
      </c>
      <c r="H76" s="6" t="inlineStr">
        <is>
          <t>NO</t>
        </is>
      </c>
      <c r="I76" s="6" t="inlineStr"/>
    </row>
    <row r="77">
      <c r="A77" s="8" t="inlineStr">
        <is>
          <t>Roof</t>
        </is>
      </c>
      <c r="B77" s="8" t="inlineStr">
        <is>
          <t>RSX</t>
        </is>
      </c>
      <c r="C77" s="9" t="n">
        <v>0</v>
      </c>
      <c r="D77" s="10">
        <f>C77/C76</f>
        <v/>
      </c>
      <c r="E77" s="8" t="inlineStr">
        <is>
          <t>-</t>
        </is>
      </c>
      <c r="F77" s="8" t="inlineStr">
        <is>
          <t>-</t>
        </is>
      </c>
      <c r="G77" s="8" t="inlineStr">
        <is>
          <t>NO</t>
        </is>
      </c>
      <c r="H77" s="8" t="inlineStr">
        <is>
          <t>NO</t>
        </is>
      </c>
      <c r="I77" s="8" t="inlineStr"/>
    </row>
    <row r="78">
      <c r="A78" s="6" t="inlineStr">
        <is>
          <t>Floor4</t>
        </is>
      </c>
      <c r="B78" s="6" t="inlineStr">
        <is>
          <t>RSX</t>
        </is>
      </c>
      <c r="C78" s="7" t="n">
        <v>0</v>
      </c>
      <c r="D78" s="11">
        <f>C78/C77</f>
        <v/>
      </c>
      <c r="E78" s="6" t="inlineStr">
        <is>
          <t>-</t>
        </is>
      </c>
      <c r="F78" s="6" t="inlineStr">
        <is>
          <t>-</t>
        </is>
      </c>
      <c r="G78" s="6" t="inlineStr">
        <is>
          <t>NO</t>
        </is>
      </c>
      <c r="H78" s="6" t="inlineStr">
        <is>
          <t>NO</t>
        </is>
      </c>
      <c r="I78" s="6" t="inlineStr"/>
    </row>
    <row r="79">
      <c r="A79" s="8" t="inlineStr">
        <is>
          <t>Floor3</t>
        </is>
      </c>
      <c r="B79" s="8" t="inlineStr">
        <is>
          <t>RSX</t>
        </is>
      </c>
      <c r="C79" s="9" t="n">
        <v>0</v>
      </c>
      <c r="D79" s="10">
        <f>C79/C78</f>
        <v/>
      </c>
      <c r="E79" s="9">
        <f>(C78+C77+C76)/3</f>
        <v/>
      </c>
      <c r="F79" s="10">
        <f>C79/E79</f>
        <v/>
      </c>
      <c r="G79" s="8">
        <f>IF(F79&lt;0.8,"YES","NO")</f>
        <v/>
      </c>
      <c r="H79" s="8">
        <f>IF(D79&lt;0.7,"YES","NO")</f>
        <v/>
      </c>
      <c r="I79" s="8">
        <f>IF(OR(G79="YES",H79="YES"), A79&amp;" is Soft", "")</f>
        <v/>
      </c>
    </row>
    <row r="80">
      <c r="A80" s="6" t="inlineStr">
        <is>
          <t>Floor2</t>
        </is>
      </c>
      <c r="B80" s="6" t="inlineStr">
        <is>
          <t>RSX</t>
        </is>
      </c>
      <c r="C80" s="7" t="n">
        <v>0</v>
      </c>
      <c r="D80" s="11">
        <f>C80/C79</f>
        <v/>
      </c>
      <c r="E80" s="7">
        <f>(C79+C78+C77)/3</f>
        <v/>
      </c>
      <c r="F80" s="11">
        <f>C80/E80</f>
        <v/>
      </c>
      <c r="G80" s="6">
        <f>IF(F80&lt;0.8,"YES","NO")</f>
        <v/>
      </c>
      <c r="H80" s="6">
        <f>IF(D80&lt;0.7,"YES","NO")</f>
        <v/>
      </c>
      <c r="I80" s="6">
        <f>IF(OR(G80="YES",H80="YES"), A80&amp;" is Soft", "")</f>
        <v/>
      </c>
    </row>
    <row r="81">
      <c r="A81" s="8" t="inlineStr">
        <is>
          <t>Floor1</t>
        </is>
      </c>
      <c r="B81" s="8" t="inlineStr">
        <is>
          <t>RSX</t>
        </is>
      </c>
      <c r="C81" s="9" t="n">
        <v>0</v>
      </c>
      <c r="D81" s="10">
        <f>C81/C80</f>
        <v/>
      </c>
      <c r="E81" s="9">
        <f>(C80+C79+C78)/3</f>
        <v/>
      </c>
      <c r="F81" s="10">
        <f>C81/E81</f>
        <v/>
      </c>
      <c r="G81" s="8">
        <f>IF(F81&lt;0.8,"YES","NO")</f>
        <v/>
      </c>
      <c r="H81" s="8">
        <f>IF(D81&lt;0.7,"YES","NO")</f>
        <v/>
      </c>
      <c r="I81" s="8">
        <f>IF(OR(G81="YES",H81="YES"), A81&amp;" is Soft", "")</f>
        <v/>
      </c>
    </row>
    <row r="82">
      <c r="A82" s="12" t="inlineStr">
        <is>
          <t>Parking</t>
        </is>
      </c>
      <c r="B82" s="12" t="inlineStr">
        <is>
          <t>RSX</t>
        </is>
      </c>
      <c r="C82" s="13" t="n">
        <v>0</v>
      </c>
      <c r="D82" s="14">
        <f>C82/C81</f>
        <v/>
      </c>
      <c r="E82" s="13">
        <f>(C81+C80+C79)/3</f>
        <v/>
      </c>
      <c r="F82" s="14">
        <f>C82/E82</f>
        <v/>
      </c>
      <c r="G82" s="12">
        <f>IF(F82&lt;0.8,"YES","NO")</f>
        <v/>
      </c>
      <c r="H82" s="12">
        <f>IF(D82&lt;0.7,"YES","NO")</f>
        <v/>
      </c>
      <c r="I82" s="12">
        <f>IF(OR(G82="YES",H82="YES"), A82&amp;" is Soft", "")</f>
        <v/>
      </c>
    </row>
    <row r="85">
      <c r="A85" s="1" t="inlineStr">
        <is>
          <t>TABLE: Story Stiffness - RSY</t>
        </is>
      </c>
      <c r="B85" s="2" t="n"/>
      <c r="C85" s="2" t="n"/>
      <c r="D85" s="2" t="n"/>
      <c r="E85" s="2" t="n"/>
      <c r="F85" s="2" t="n"/>
      <c r="G85" s="2" t="n"/>
      <c r="H85" s="2" t="n"/>
      <c r="I85" s="2" t="n"/>
    </row>
    <row r="86">
      <c r="A86" s="3" t="inlineStr">
        <is>
          <t>story</t>
        </is>
      </c>
      <c r="B86" s="3" t="inlineStr">
        <is>
          <t>Output Case</t>
        </is>
      </c>
      <c r="C86" s="3" t="inlineStr">
        <is>
          <t>K?</t>
        </is>
      </c>
      <c r="D86" s="3" t="inlineStr">
        <is>
          <t>Ki/Ki+1</t>
        </is>
      </c>
      <c r="E86" s="3" t="inlineStr">
        <is>
          <t>(Ki+1+Ki+2+Ki+3)/3</t>
        </is>
      </c>
      <c r="F86" s="3" t="inlineStr">
        <is>
          <t>Story stiffness / average stiffness of the 3 stories above</t>
        </is>
      </c>
      <c r="G86" s="3" t="inlineStr">
        <is>
          <t>Is the soft storey included in the 80% specification?</t>
        </is>
      </c>
      <c r="H86" s="3" t="inlineStr">
        <is>
          <t>Does the story qualify as a soft story under the 70% rule?</t>
        </is>
      </c>
      <c r="I86" s="3" t="inlineStr">
        <is>
          <t>Soft Story Note</t>
        </is>
      </c>
    </row>
    <row r="87">
      <c r="A87" s="4" t="n"/>
      <c r="B87" s="4" t="n"/>
      <c r="C87" s="5" t="inlineStr">
        <is>
          <t>kN/m</t>
        </is>
      </c>
      <c r="D87" s="4" t="n"/>
      <c r="E87" s="4" t="n"/>
      <c r="F87" s="4" t="n"/>
      <c r="G87" s="4" t="n"/>
      <c r="H87" s="4" t="n"/>
      <c r="I87" s="4" t="n"/>
    </row>
    <row r="88">
      <c r="A88" s="6" t="inlineStr">
        <is>
          <t>TopRoof</t>
        </is>
      </c>
      <c r="B88" s="6" t="inlineStr">
        <is>
          <t>RSY</t>
        </is>
      </c>
      <c r="C88" s="7" t="n">
        <v>0</v>
      </c>
      <c r="D88" s="6" t="inlineStr">
        <is>
          <t>-</t>
        </is>
      </c>
      <c r="E88" s="6" t="inlineStr">
        <is>
          <t>-</t>
        </is>
      </c>
      <c r="F88" s="6" t="inlineStr">
        <is>
          <t>-</t>
        </is>
      </c>
      <c r="G88" s="6" t="inlineStr">
        <is>
          <t>NO</t>
        </is>
      </c>
      <c r="H88" s="6" t="inlineStr">
        <is>
          <t>NO</t>
        </is>
      </c>
      <c r="I88" s="6" t="inlineStr"/>
    </row>
    <row r="89">
      <c r="A89" s="8" t="inlineStr">
        <is>
          <t>Roof</t>
        </is>
      </c>
      <c r="B89" s="8" t="inlineStr">
        <is>
          <t>RSY</t>
        </is>
      </c>
      <c r="C89" s="9" t="n">
        <v>0</v>
      </c>
      <c r="D89" s="10">
        <f>C89/C88</f>
        <v/>
      </c>
      <c r="E89" s="8" t="inlineStr">
        <is>
          <t>-</t>
        </is>
      </c>
      <c r="F89" s="8" t="inlineStr">
        <is>
          <t>-</t>
        </is>
      </c>
      <c r="G89" s="8" t="inlineStr">
        <is>
          <t>NO</t>
        </is>
      </c>
      <c r="H89" s="8" t="inlineStr">
        <is>
          <t>NO</t>
        </is>
      </c>
      <c r="I89" s="8" t="inlineStr"/>
    </row>
    <row r="90">
      <c r="A90" s="6" t="inlineStr">
        <is>
          <t>Floor4</t>
        </is>
      </c>
      <c r="B90" s="6" t="inlineStr">
        <is>
          <t>RSY</t>
        </is>
      </c>
      <c r="C90" s="7" t="n">
        <v>0</v>
      </c>
      <c r="D90" s="11">
        <f>C90/C89</f>
        <v/>
      </c>
      <c r="E90" s="6" t="inlineStr">
        <is>
          <t>-</t>
        </is>
      </c>
      <c r="F90" s="6" t="inlineStr">
        <is>
          <t>-</t>
        </is>
      </c>
      <c r="G90" s="6" t="inlineStr">
        <is>
          <t>NO</t>
        </is>
      </c>
      <c r="H90" s="6" t="inlineStr">
        <is>
          <t>NO</t>
        </is>
      </c>
      <c r="I90" s="6" t="inlineStr"/>
    </row>
    <row r="91">
      <c r="A91" s="8" t="inlineStr">
        <is>
          <t>Floor3</t>
        </is>
      </c>
      <c r="B91" s="8" t="inlineStr">
        <is>
          <t>RSY</t>
        </is>
      </c>
      <c r="C91" s="9" t="n">
        <v>0</v>
      </c>
      <c r="D91" s="10">
        <f>C91/C90</f>
        <v/>
      </c>
      <c r="E91" s="9">
        <f>(C90+C89+C88)/3</f>
        <v/>
      </c>
      <c r="F91" s="10">
        <f>C91/E91</f>
        <v/>
      </c>
      <c r="G91" s="8">
        <f>IF(F91&lt;0.8,"YES","NO")</f>
        <v/>
      </c>
      <c r="H91" s="8">
        <f>IF(D91&lt;0.7,"YES","NO")</f>
        <v/>
      </c>
      <c r="I91" s="8">
        <f>IF(OR(G91="YES",H91="YES"), A91&amp;" is Soft", "")</f>
        <v/>
      </c>
    </row>
    <row r="92">
      <c r="A92" s="6" t="inlineStr">
        <is>
          <t>Floor2</t>
        </is>
      </c>
      <c r="B92" s="6" t="inlineStr">
        <is>
          <t>RSY</t>
        </is>
      </c>
      <c r="C92" s="7" t="n">
        <v>0</v>
      </c>
      <c r="D92" s="11">
        <f>C92/C91</f>
        <v/>
      </c>
      <c r="E92" s="7">
        <f>(C91+C90+C89)/3</f>
        <v/>
      </c>
      <c r="F92" s="11">
        <f>C92/E92</f>
        <v/>
      </c>
      <c r="G92" s="6">
        <f>IF(F92&lt;0.8,"YES","NO")</f>
        <v/>
      </c>
      <c r="H92" s="6">
        <f>IF(D92&lt;0.7,"YES","NO")</f>
        <v/>
      </c>
      <c r="I92" s="6">
        <f>IF(OR(G92="YES",H92="YES"), A92&amp;" is Soft", "")</f>
        <v/>
      </c>
    </row>
    <row r="93">
      <c r="A93" s="8" t="inlineStr">
        <is>
          <t>Floor1</t>
        </is>
      </c>
      <c r="B93" s="8" t="inlineStr">
        <is>
          <t>RSY</t>
        </is>
      </c>
      <c r="C93" s="9" t="n">
        <v>0</v>
      </c>
      <c r="D93" s="10">
        <f>C93/C92</f>
        <v/>
      </c>
      <c r="E93" s="9">
        <f>(C92+C91+C90)/3</f>
        <v/>
      </c>
      <c r="F93" s="10">
        <f>C93/E93</f>
        <v/>
      </c>
      <c r="G93" s="8">
        <f>IF(F93&lt;0.8,"YES","NO")</f>
        <v/>
      </c>
      <c r="H93" s="8">
        <f>IF(D93&lt;0.7,"YES","NO")</f>
        <v/>
      </c>
      <c r="I93" s="8">
        <f>IF(OR(G93="YES",H93="YES"), A93&amp;" is Soft", "")</f>
        <v/>
      </c>
    </row>
    <row r="94">
      <c r="A94" s="12" t="inlineStr">
        <is>
          <t>Parking</t>
        </is>
      </c>
      <c r="B94" s="12" t="inlineStr">
        <is>
          <t>RSY</t>
        </is>
      </c>
      <c r="C94" s="13" t="n">
        <v>0</v>
      </c>
      <c r="D94" s="14">
        <f>C94/C93</f>
        <v/>
      </c>
      <c r="E94" s="13">
        <f>(C93+C92+C91)/3</f>
        <v/>
      </c>
      <c r="F94" s="14">
        <f>C94/E94</f>
        <v/>
      </c>
      <c r="G94" s="12">
        <f>IF(F94&lt;0.8,"YES","NO")</f>
        <v/>
      </c>
      <c r="H94" s="12">
        <f>IF(D94&lt;0.7,"YES","NO")</f>
        <v/>
      </c>
      <c r="I94" s="12">
        <f>IF(OR(G94="YES",H94="YES"), A94&amp;" is Soft", "")</f>
        <v/>
      </c>
    </row>
  </sheetData>
  <autoFilter ref="A2:I94"/>
  <mergeCells count="8">
    <mergeCell ref="A25:I25"/>
    <mergeCell ref="A73:I73"/>
    <mergeCell ref="A49:I49"/>
    <mergeCell ref="A85:I85"/>
    <mergeCell ref="A37:I37"/>
    <mergeCell ref="A13:I13"/>
    <mergeCell ref="A1:I1"/>
    <mergeCell ref="A61:I61"/>
  </mergeCells>
  <conditionalFormatting sqref="A4:I10">
    <cfRule type="expression" priority="1" dxfId="0">
      <formula>=OR($G4="YES",$H4="YES")</formula>
    </cfRule>
  </conditionalFormatting>
  <conditionalFormatting sqref="A16:I22">
    <cfRule type="expression" priority="2" dxfId="0">
      <formula>=OR($G16="YES",$H16="YES")</formula>
    </cfRule>
  </conditionalFormatting>
  <conditionalFormatting sqref="A28:I34">
    <cfRule type="expression" priority="3" dxfId="0">
      <formula>=OR($G28="YES",$H28="YES")</formula>
    </cfRule>
  </conditionalFormatting>
  <conditionalFormatting sqref="A40:I46">
    <cfRule type="expression" priority="4" dxfId="0">
      <formula>=OR($G40="YES",$H40="YES")</formula>
    </cfRule>
  </conditionalFormatting>
  <conditionalFormatting sqref="A52:I58">
    <cfRule type="expression" priority="5" dxfId="0">
      <formula>=OR($G52="YES",$H52="YES")</formula>
    </cfRule>
  </conditionalFormatting>
  <conditionalFormatting sqref="A64:I70">
    <cfRule type="expression" priority="6" dxfId="0">
      <formula>=OR($G64="YES",$H64="YES")</formula>
    </cfRule>
  </conditionalFormatting>
  <conditionalFormatting sqref="A76:I82">
    <cfRule type="expression" priority="7" dxfId="0">
      <formula>=OR($G76="YES",$H76="YES")</formula>
    </cfRule>
  </conditionalFormatting>
  <conditionalFormatting sqref="A88:I94">
    <cfRule type="expression" priority="8" dxfId="0">
      <formula>=OR($G88="YES",$H88="YES")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2026-10-22T12:35:51Z</dcterms:created>
  <dcterms:modified xsi:type="dcterms:W3CDTF">2026-10-22T12:35:51Z</dcterms:modified>
</cp:coreProperties>
</file>